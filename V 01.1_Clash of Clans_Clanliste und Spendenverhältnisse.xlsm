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/>
  </bookViews>
  <sheets>
    <sheet name="Clanübersicht" sheetId="1" r:id="rId1"/>
  </sheets>
  <functionGroups builtInGroupCount="17"/>
  <definedNames>
    <definedName name="_xlnm._FilterDatabase" localSheetId="0" hidden="1">Clanübersicht!$A$2:$I$56</definedName>
    <definedName name="APIurl">Clanübersicht!$AB$4</definedName>
    <definedName name="_xlnm.Print_Area" localSheetId="0">Clanübersicht!$A$1:$J$53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3" i="1" l="1"/>
  <c r="J17" i="1"/>
  <c r="J25" i="1"/>
  <c r="J40" i="1"/>
  <c r="J6" i="1"/>
  <c r="J3" i="1"/>
  <c r="J47" i="1"/>
  <c r="J35" i="1"/>
  <c r="J37" i="1"/>
  <c r="J39" i="1"/>
  <c r="J8" i="1"/>
  <c r="J4" i="1"/>
  <c r="J34" i="1"/>
  <c r="J52" i="1"/>
  <c r="J5" i="1"/>
  <c r="J45" i="1"/>
  <c r="J31" i="1"/>
  <c r="J23" i="1"/>
  <c r="J15" i="1"/>
  <c r="J18" i="1"/>
  <c r="J22" i="1"/>
  <c r="J12" i="1"/>
  <c r="J46" i="1"/>
  <c r="J9" i="1"/>
  <c r="J27" i="1"/>
  <c r="J41" i="1"/>
  <c r="J10" i="1"/>
  <c r="J32" i="1"/>
  <c r="J49" i="1"/>
  <c r="J33" i="1"/>
  <c r="J42" i="1"/>
  <c r="J29" i="1"/>
  <c r="J16" i="1"/>
  <c r="J51" i="1"/>
  <c r="J14" i="1"/>
  <c r="J13" i="1"/>
  <c r="J30" i="1"/>
  <c r="J11" i="1"/>
  <c r="J20" i="1"/>
  <c r="J7" i="1"/>
  <c r="J50" i="1"/>
  <c r="J36" i="1"/>
  <c r="J48" i="1"/>
  <c r="J44" i="1"/>
  <c r="J38" i="1"/>
  <c r="J24" i="1"/>
  <c r="J21" i="1"/>
  <c r="J26" i="1"/>
  <c r="J28" i="1"/>
  <c r="J19" i="1"/>
  <c r="J1" i="1"/>
  <c r="I13" i="1"/>
  <c r="I24" i="1"/>
  <c r="I29" i="1"/>
  <c r="I47" i="1"/>
  <c r="I12" i="1"/>
  <c r="I42" i="1"/>
  <c r="I7" i="1"/>
  <c r="I4" i="1"/>
  <c r="I8" i="1"/>
  <c r="I3" i="1"/>
  <c r="I23" i="1"/>
  <c r="I27" i="1"/>
  <c r="I36" i="1"/>
  <c r="I44" i="1"/>
  <c r="I50" i="1"/>
  <c r="I21" i="1"/>
  <c r="I51" i="1"/>
  <c r="I49" i="1"/>
  <c r="I16" i="1"/>
  <c r="I34" i="1"/>
  <c r="I46" i="1"/>
  <c r="I19" i="1"/>
  <c r="I33" i="1"/>
  <c r="I17" i="1"/>
  <c r="I15" i="1"/>
  <c r="I14" i="1"/>
  <c r="I35" i="1"/>
  <c r="I32" i="1"/>
  <c r="I45" i="1"/>
  <c r="I6" i="1"/>
  <c r="I9" i="1"/>
  <c r="I11" i="1"/>
  <c r="I30" i="1"/>
  <c r="I22" i="1"/>
  <c r="I20" i="1"/>
  <c r="I40" i="1"/>
  <c r="I18" i="1"/>
  <c r="I31" i="1"/>
  <c r="I5" i="1"/>
  <c r="I43" i="1"/>
  <c r="I48" i="1"/>
  <c r="I37" i="1"/>
  <c r="I10" i="1"/>
  <c r="I41" i="1"/>
  <c r="I39" i="1"/>
  <c r="I52" i="1"/>
  <c r="I38" i="1"/>
  <c r="I26" i="1"/>
  <c r="I28" i="1"/>
  <c r="I25" i="1"/>
</calcChain>
</file>

<file path=xl/comments1.xml><?xml version="1.0" encoding="utf-8"?>
<comments xmlns="http://schemas.openxmlformats.org/spreadsheetml/2006/main">
  <authors>
    <author>Autor</author>
  </authors>
  <commentList>
    <comment ref="A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<sst xmlns="http://schemas.openxmlformats.org/spreadsheetml/2006/main" count="119" uniqueCount="73">
  <si>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</si>
  <si>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</si>
  <si>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</si>
  <si>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</si>
  <si>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</si>
  <si>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</si>
  <si>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</si>
  <si>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</si>
  <si>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</si>
  <si>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</si>
  <si>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</si>
  <si>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</si>
  <si>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</si>
  <si>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</si>
  <si>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r>
      <rPr>
        <b/>
        <sz val="11"/>
        <color theme="1"/>
        <rFont val="Calibri"/>
        <family val="2"/>
        <scheme val="minor"/>
      </rPr>
      <t>Clan Tag:</t>
    </r>
    <r>
      <rPr>
        <sz val="11"/>
        <color theme="1"/>
        <rFont val="Calibri"/>
        <family val="2"/>
        <scheme val="minor"/>
      </rPr>
      <t xml:space="preserve"> </t>
    </r>
  </si>
  <si>
    <t>admin</t>
  </si>
  <si>
    <t>member</t>
  </si>
  <si>
    <t>leader</t>
  </si>
  <si>
    <t>coLeader</t>
  </si>
  <si>
    <t>Asarius</t>
  </si>
  <si>
    <t>Beatle</t>
  </si>
  <si>
    <t>Thor</t>
  </si>
  <si>
    <t>Garun Windtotem</t>
  </si>
  <si>
    <t>seatro</t>
  </si>
  <si>
    <t>Stunnah</t>
  </si>
  <si>
    <t>flow</t>
  </si>
  <si>
    <t>Galerinnor</t>
  </si>
  <si>
    <t>Asaretto</t>
  </si>
  <si>
    <t>Avatar</t>
  </si>
  <si>
    <t>Julius</t>
  </si>
  <si>
    <t>Lord Mio</t>
  </si>
  <si>
    <t>VQPVPJ09</t>
  </si>
  <si>
    <t>MeisterHo</t>
  </si>
  <si>
    <t>Finster KÃ¶nig</t>
  </si>
  <si>
    <t>Peer Knopfdruck</t>
  </si>
  <si>
    <t>Jurich</t>
  </si>
  <si>
    <t>CK 1 Angriff</t>
  </si>
  <si>
    <t>CK2 Angriff</t>
  </si>
  <si>
    <t>CK3 Angriff</t>
  </si>
  <si>
    <t>vini TV</t>
  </si>
  <si>
    <t>Demon5</t>
  </si>
  <si>
    <t>Bick</t>
  </si>
  <si>
    <t>Laura</t>
  </si>
  <si>
    <t>CK4 Angriff</t>
  </si>
  <si>
    <t>CK5 Angriff</t>
  </si>
  <si>
    <t>CK6 Angriff</t>
  </si>
  <si>
    <t>CK7 Angriff</t>
  </si>
  <si>
    <t>Timâï¸</t>
  </si>
  <si>
    <t>sam</t>
  </si>
  <si>
    <t>Ben7580</t>
  </si>
  <si>
    <t>maxi05zockt</t>
  </si>
  <si>
    <t>pupsarsc</t>
  </si>
  <si>
    <t>â ARES â</t>
  </si>
  <si>
    <t>Reca9</t>
  </si>
  <si>
    <t>Killerhoch2</t>
  </si>
  <si>
    <t>hkk</t>
  </si>
  <si>
    <t>DAVID</t>
  </si>
  <si>
    <t>âZEUSâ</t>
  </si>
  <si>
    <t>Willy</t>
  </si>
  <si>
    <t>Zhinchuya</t>
  </si>
  <si>
    <t>Sammy</t>
  </si>
  <si>
    <t>RÃ¤ucherrausch</t>
  </si>
  <si>
    <t>NoName.</t>
  </si>
  <si>
    <t>DarkFighter</t>
  </si>
  <si>
    <t>sabes</t>
  </si>
  <si>
    <t>Jan</t>
  </si>
  <si>
    <t>DezyPlayz</t>
  </si>
  <si>
    <t>Funboy VQ</t>
  </si>
  <si>
    <t>Valentino44</t>
  </si>
  <si>
    <t>YouTube</t>
  </si>
  <si>
    <t>XKellerX</t>
  </si>
  <si>
    <t>Aaron:3</t>
  </si>
  <si>
    <t>XxDRAGONxX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</si>
</sst>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1AF37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4">
    <xf numFmtId="0" fontId="0" fillId="0" borderId="0" xfId="0"/>
    <xf numFmtId="9" fontId="0" fillId="0" borderId="0" xfId="1" applyFont="1"/>
    <xf numFmtId="0" fontId="2" fillId="0" borderId="0" xfId="0" applyFont="1"/>
    <xf numFmtId="0" fontId="0" fillId="0" borderId="0" xfId="0" applyFont="1" applyBorder="1"/>
    <xf numFmtId="0" fontId="0" fillId="0" borderId="0" xfId="0" applyFill="1"/>
    <xf numFmtId="0" fontId="0" fillId="0" borderId="0" xfId="0" applyFont="1" applyFill="1" applyBorder="1"/>
    <xf numFmtId="0" fontId="0" fillId="0" borderId="0" xfId="0" applyBorder="1"/>
    <xf numFmtId="9" fontId="0" fillId="0" borderId="0" xfId="1" applyFont="1" applyBorder="1"/>
    <xf numFmtId="0" fontId="0" fillId="0" borderId="0" xfId="0" applyFill="1" applyBorder="1"/>
    <xf numFmtId="9" fontId="0" fillId="0" borderId="0" xfId="0" applyNumberFormat="1" applyFont="1"/>
    <xf numFmtId="164" fontId="0" fillId="0" borderId="0" xfId="3" applyNumberFormat="1" applyFont="1" applyBorder="1"/>
    <xf numFmtId="164" fontId="0" fillId="0" borderId="0" xfId="3" applyNumberFormat="1" applyFont="1" applyFill="1" applyBorder="1"/>
    <xf numFmtId="164" fontId="0" fillId="0" borderId="0" xfId="3" applyNumberFormat="1" applyFont="1"/>
    <xf numFmtId="164" fontId="0" fillId="0" borderId="0" xfId="3" applyNumberFormat="1" applyFont="1" applyFill="1"/>
    <xf numFmtId="164" fontId="5" fillId="0" borderId="0" xfId="3" applyNumberFormat="1" applyFont="1" applyBorder="1"/>
    <xf numFmtId="164" fontId="5" fillId="0" borderId="0" xfId="3" applyNumberFormat="1" applyFont="1" applyFill="1" applyBorder="1"/>
    <xf numFmtId="164" fontId="0" fillId="0" borderId="0" xfId="0" applyNumberFormat="1" applyFont="1"/>
    <xf numFmtId="14" fontId="0" fillId="0" borderId="0" xfId="0" applyNumberFormat="1"/>
    <xf numFmtId="14" fontId="6" fillId="0" borderId="0" xfId="0" applyNumberFormat="1" applyFont="1" applyAlignment="1"/>
    <xf numFmtId="0" fontId="7" fillId="3" borderId="0" xfId="0" applyFont="1" applyFill="1" applyBorder="1" applyAlignment="1">
      <alignment wrapText="1"/>
    </xf>
    <xf numFmtId="164" fontId="7" fillId="3" borderId="0" xfId="3" applyNumberFormat="1" applyFont="1" applyFill="1" applyBorder="1" applyAlignment="1">
      <alignment wrapText="1"/>
    </xf>
    <xf numFmtId="9" fontId="7" fillId="3" borderId="0" xfId="1" applyNumberFormat="1" applyFont="1" applyFill="1" applyBorder="1" applyAlignment="1">
      <alignment wrapText="1"/>
    </xf>
    <xf numFmtId="164" fontId="7" fillId="3" borderId="1" xfId="3" applyNumberFormat="1" applyFont="1" applyFill="1" applyBorder="1" applyAlignment="1">
      <alignment wrapText="1"/>
    </xf>
    <xf numFmtId="14" fontId="6" fillId="0" borderId="0" xfId="0" applyNumberFormat="1" applyFont="1" applyFill="1" applyAlignment="1"/>
    <xf numFmtId="164" fontId="7" fillId="0" borderId="0" xfId="3" applyNumberFormat="1" applyFont="1" applyFill="1" applyBorder="1" applyAlignment="1">
      <alignment wrapText="1"/>
    </xf>
    <xf numFmtId="164" fontId="0" fillId="0" borderId="0" xfId="0" applyNumberFormat="1" applyFont="1" applyFill="1"/>
    <xf numFmtId="0" fontId="2" fillId="0" borderId="2" xfId="0" applyFont="1" applyBorder="1"/>
    <xf numFmtId="0" fontId="0" fillId="0" borderId="3" xfId="0" applyBorder="1"/>
    <xf numFmtId="0" fontId="0" fillId="0" borderId="5" xfId="0" applyBorder="1"/>
    <xf numFmtId="0" fontId="3" fillId="2" borderId="4" xfId="2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4" borderId="7" xfId="0" applyFill="1" applyBorder="1"/>
    <xf numFmtId="0" fontId="0" fillId="0" borderId="0" xfId="0" applyFont="1"/>
    <xf numFmtId="0" fontId="4" fillId="0" borderId="0" xfId="0" applyFont="1" applyAlignment="1">
      <alignment horizontal="center"/>
    </xf>
  </cellXfs>
  <cellStyles count="4">
    <cellStyle name="Hyperlink" xfId="2" builtinId="8"/>
    <cellStyle name="Komma" xfId="3" builtinId="3"/>
    <cellStyle name="Prozent" xfId="1" builtinId="5"/>
    <cellStyle name="Standard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rgb="FFFF000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>
      <tableStyleElement type="wholeTable" dxfId="34"/>
      <tableStyleElement type="headerRow" dxfId="33"/>
      <tableStyleElement type="totalRow" dxfId="32"/>
      <tableStyleElement type="firstRowStripe" dxfId="31"/>
    </tableStyle>
  </tableStyles>
  <colors>
    <mruColors>
      <color rgb="FF0066FF"/>
      <color rgb="FF01AF37"/>
      <color rgb="FF2800D0"/>
      <color rgb="FF2AF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</xdr:row>
          <xdr:rowOff>0</xdr:rowOff>
        </xdr:from>
        <xdr:to>
          <xdr:col>26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7</xdr:row>
          <xdr:rowOff>0</xdr:rowOff>
        </xdr:from>
        <xdr:to>
          <xdr:col>26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12</xdr:row>
          <xdr:rowOff>66675</xdr:rowOff>
        </xdr:from>
        <xdr:to>
          <xdr:col>26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31</xdr:row>
          <xdr:rowOff>28575</xdr:rowOff>
        </xdr:from>
        <xdr:to>
          <xdr:col>26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37</xdr:row>
          <xdr:rowOff>76200</xdr:rowOff>
        </xdr:from>
        <xdr:to>
          <xdr:col>26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18</xdr:row>
          <xdr:rowOff>95250</xdr:rowOff>
        </xdr:from>
        <xdr:to>
          <xdr:col>26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24</xdr:row>
          <xdr:rowOff>104775</xdr:rowOff>
        </xdr:from>
        <xdr:to>
          <xdr:col>26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304800</xdr:colOff>
          <xdr:row>12</xdr:row>
          <xdr:rowOff>66675</xdr:rowOff>
        </xdr:from>
        <xdr:to>
          <xdr:col>29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2:Q53" totalsRowCount="1" headerRowDxfId="24" tableBorderDxfId="23">
  <autoFilter ref="A2:Q52"/>
  <sortState ref="A3:M52">
    <sortCondition descending="1" ref="D2:D52"/>
  </sortState>
  <tableColumns count="17">
    <tableColumn id="1" name="Name"/>
    <tableColumn id="2" name="Rolle"/>
    <tableColumn id="3" name="EP_x000a_Punkte"/>
    <tableColumn id="4" name="Trophäen" dataDxfId="22" totalsRowDxfId="21" dataCellStyle="Komma"/>
    <tableColumn id="5" name="Clan Rang Neu"/>
    <tableColumn id="6" name="Clan Rang Bisher"/>
    <tableColumn id="7" name="Gespendet" dataDxfId="20" totalsRowDxfId="19" dataCellStyle="Komma"/>
    <tableColumn id="8" name="Spenden erhalten" dataDxfId="18" totalsRowDxfId="17" dataCellStyle="Komma"/>
    <tableColumn id="9" name="Spendenverhältnis" dataDxfId="16" totalsRowDxfId="15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name="Spendenbudget" dataDxfId="14" totalsRowDxfId="13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1" name="CK 1 Angriff" dataDxfId="12" totalsRowDxfId="11" dataCellStyle="Komma"/>
    <tableColumn id="12" name="CK2 Angriff" dataDxfId="10" totalsRowDxfId="9" dataCellStyle="Komma"/>
    <tableColumn id="16" name="CK3 Angriff" dataDxfId="8" totalsRowDxfId="7" dataCellStyle="Komma"/>
    <tableColumn id="15" name="CK4 Angriff" dataDxfId="6" totalsRowDxfId="5" dataCellStyle="Komma"/>
    <tableColumn id="14" name="CK5 Angriff" dataDxfId="4" totalsRowDxfId="3" dataCellStyle="Komma"/>
    <tableColumn id="17" name="CK6 Angriff" dataDxfId="2" totalsRowDxfId="1" dataCellStyle="Komma"/>
    <tableColumn id="13" name="CK7 Angriff" dataDxfId="0" dataCellStyle="Komma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clashofclans.com/clans/search/" TargetMode="Externa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lan">
    <pageSetUpPr fitToPage="1"/>
  </sheetPr>
  <dimension ref="A1:AD53"/>
  <sheetViews>
    <sheetView showGridLines="0" tabSelected="1" zoomScaleNormal="100" workbookViewId="0">
      <selection activeCell="AB5" sqref="AB5"/>
    </sheetView>
  </sheetViews>
  <sheetFormatPr baseColWidth="10" defaultColWidth="9.140625" defaultRowHeight="15" x14ac:dyDescent="0.25"/>
  <cols>
    <col min="1" max="1" width="20.85546875" customWidth="1"/>
    <col min="2" max="2" width="9" bestFit="1" customWidth="1"/>
    <col min="3" max="3" width="8" bestFit="1" customWidth="1"/>
    <col min="4" max="4" width="11" style="12" bestFit="1" customWidth="1"/>
    <col min="5" max="5" width="10.85546875" customWidth="1"/>
    <col min="6" max="6" width="11.85546875" bestFit="1" customWidth="1"/>
    <col min="7" max="7" width="16.28515625" style="12" customWidth="1"/>
    <col min="8" max="8" width="14.5703125" style="12" customWidth="1"/>
    <col min="9" max="9" width="20.140625" style="1" bestFit="1" customWidth="1"/>
    <col min="10" max="10" width="20.140625" style="12" customWidth="1"/>
    <col min="11" max="17" width="20.140625" style="12" hidden="1" customWidth="1"/>
    <col min="18" max="21" width="7" style="12" customWidth="1"/>
    <col min="22" max="22" width="6.85546875" style="13" customWidth="1"/>
    <col min="28" max="28" width="17.140625" bestFit="1" customWidth="1"/>
    <col min="29" max="29" width="11" bestFit="1" customWidth="1"/>
    <col min="30" max="30" width="12.5703125" bestFit="1" customWidth="1"/>
  </cols>
  <sheetData>
    <row r="1" spans="1:30" ht="36" x14ac:dyDescent="0.55000000000000004">
      <c r="A1" s="33" t="s">
        <v>6</v>
      </c>
      <c r="B1" s="33"/>
      <c r="C1" s="33"/>
      <c r="D1" s="33"/>
      <c r="E1" s="33"/>
      <c r="F1" s="33"/>
      <c r="G1" s="33"/>
      <c r="H1" s="33"/>
      <c r="I1" s="33"/>
      <c r="J1" s="18">
        <f ca="1">TODAY()</f>
        <v>44294</v>
      </c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23"/>
      <c r="AB1" s="17"/>
    </row>
    <row r="2" spans="1:30" s="2" customFormat="1" ht="30.75" thickBot="1" x14ac:dyDescent="0.3">
      <c r="A2" s="19" t="s">
        <v>0</v>
      </c>
      <c r="B2" s="19" t="s">
        <v>12</v>
      </c>
      <c r="C2" s="19" t="s">
        <v>9</v>
      </c>
      <c r="D2" s="20" t="s">
        <v>7</v>
      </c>
      <c r="E2" s="19" t="s">
        <v>10</v>
      </c>
      <c r="F2" s="19" t="s">
        <v>11</v>
      </c>
      <c r="G2" s="20" t="s">
        <v>8</v>
      </c>
      <c r="H2" s="20" t="s">
        <v>2</v>
      </c>
      <c r="I2" s="21" t="s">
        <v>1</v>
      </c>
      <c r="J2" s="22" t="s">
        <v>13</v>
      </c>
      <c r="K2" s="22" t="s">
        <v>36</v>
      </c>
      <c r="L2" s="22" t="s">
        <v>37</v>
      </c>
      <c r="M2" s="22" t="s">
        <v>38</v>
      </c>
      <c r="N2" s="22" t="s">
        <v>43</v>
      </c>
      <c r="O2" s="22" t="s">
        <v>44</v>
      </c>
      <c r="P2" s="22" t="s">
        <v>45</v>
      </c>
      <c r="Q2" s="22" t="s">
        <v>46</v>
      </c>
      <c r="R2" s="20"/>
      <c r="S2" s="20"/>
      <c r="T2" s="20"/>
      <c r="U2" s="20"/>
      <c r="V2" s="24"/>
    </row>
    <row r="3" spans="1:30" x14ac:dyDescent="0.2">
      <c r="A3" t="s">
        <v>32</v>
      </c>
      <c r="B3" t="s">
        <v>18</v>
      </c>
      <c r="C3">
        <v>203</v>
      </c>
      <c r="D3" s="12">
        <v>5006</v>
      </c>
      <c r="E3">
        <v>1</v>
      </c>
      <c r="F3" s="6">
        <v>1</v>
      </c>
      <c r="G3" s="14">
        <v>3326</v>
      </c>
      <c r="H3" s="10">
        <v>2690</v>
      </c>
      <c r="I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1.2364312267657993</v>
      </c>
      <c r="J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7288</v>
      </c>
      <c r="K3" s="10">
        <v>2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1"/>
      <c r="AB3" s="26" t="s">
        <v>5</v>
      </c>
      <c r="AC3" s="27"/>
      <c r="AD3" s="2"/>
    </row>
    <row r="4" spans="1:30" x14ac:dyDescent="0.2">
      <c r="A4" t="s">
        <v>19</v>
      </c>
      <c r="B4" t="s">
        <v>18</v>
      </c>
      <c r="C4">
        <v>223</v>
      </c>
      <c r="D4" s="12">
        <v>4918</v>
      </c>
      <c r="E4">
        <v>2</v>
      </c>
      <c r="F4" s="6">
        <v>2</v>
      </c>
      <c r="G4" s="14">
        <v>1679</v>
      </c>
      <c r="H4" s="10">
        <v>1753</v>
      </c>
      <c r="I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0.95778665145464914</v>
      </c>
      <c r="J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3284</v>
      </c>
      <c r="K4" s="10">
        <v>2</v>
      </c>
      <c r="L4" s="10"/>
      <c r="M4" s="10"/>
      <c r="N4" s="10"/>
      <c r="O4" s="10"/>
      <c r="P4" s="10"/>
      <c r="Q4" s="10"/>
      <c r="R4" s="10"/>
      <c r="S4" s="10"/>
      <c r="T4" s="10"/>
      <c r="U4" s="10"/>
      <c r="V4" s="11"/>
      <c r="AB4" s="29" t="s">
        <v>3</v>
      </c>
      <c r="AC4" s="28"/>
      <c r="AD4" s="2"/>
    </row>
    <row r="5" spans="1:30" x14ac:dyDescent="0.2">
      <c r="A5" s="4" t="s">
        <v>20</v>
      </c>
      <c r="B5" s="4" t="s">
        <v>18</v>
      </c>
      <c r="C5" s="4">
        <v>214</v>
      </c>
      <c r="D5" s="13">
        <v>4790</v>
      </c>
      <c r="E5" s="4">
        <v>3</v>
      </c>
      <c r="F5" s="8">
        <v>3</v>
      </c>
      <c r="G5" s="15">
        <v>3168</v>
      </c>
      <c r="H5" s="11">
        <v>974</v>
      </c>
      <c r="I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3.2525667351129361</v>
      </c>
      <c r="J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8530</v>
      </c>
      <c r="K5" s="10">
        <v>1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1"/>
      <c r="AB5" s="29" t="s">
        <v>4</v>
      </c>
      <c r="AC5" s="28"/>
    </row>
    <row r="6" spans="1:30" ht="15.75" thickBot="1" x14ac:dyDescent="0.25">
      <c r="A6" t="s">
        <v>22</v>
      </c>
      <c r="B6" t="s">
        <v>17</v>
      </c>
      <c r="C6">
        <v>184</v>
      </c>
      <c r="D6" s="12">
        <v>4475</v>
      </c>
      <c r="E6">
        <v>4</v>
      </c>
      <c r="F6" s="6">
        <v>4</v>
      </c>
      <c r="G6" s="14">
        <v>1830</v>
      </c>
      <c r="H6" s="10">
        <v>953</v>
      </c>
      <c r="I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1.9202518363064009</v>
      </c>
      <c r="J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4537</v>
      </c>
      <c r="K6" s="10">
        <v>2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1"/>
      <c r="AB6" s="30" t="s">
        <v>14</v>
      </c>
      <c r="AC6" s="31" t="s">
        <v>31</v>
      </c>
    </row>
    <row r="7" spans="1:30" x14ac:dyDescent="0.25">
      <c r="A7" t="s">
        <v>51</v>
      </c>
      <c r="B7" t="s">
        <v>16</v>
      </c>
      <c r="C7">
        <v>177</v>
      </c>
      <c r="D7" s="12">
        <v>4242</v>
      </c>
      <c r="E7">
        <v>5</v>
      </c>
      <c r="F7" s="6">
        <v>0</v>
      </c>
      <c r="G7" s="14">
        <v>0</v>
      </c>
      <c r="H7" s="10">
        <v>0</v>
      </c>
      <c r="I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1"/>
    </row>
    <row r="8" spans="1:30" x14ac:dyDescent="0.25">
      <c r="A8" t="s">
        <v>27</v>
      </c>
      <c r="B8" t="s">
        <v>16</v>
      </c>
      <c r="C8">
        <v>173</v>
      </c>
      <c r="D8" s="12">
        <v>3974</v>
      </c>
      <c r="E8">
        <v>6</v>
      </c>
      <c r="F8" s="6">
        <v>6</v>
      </c>
      <c r="G8" s="14">
        <v>1554</v>
      </c>
      <c r="H8" s="10">
        <v>1648</v>
      </c>
      <c r="I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0.94296116504854366</v>
      </c>
      <c r="J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3014</v>
      </c>
      <c r="K8" s="10">
        <v>2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1"/>
    </row>
    <row r="9" spans="1:30" x14ac:dyDescent="0.25">
      <c r="A9" t="s">
        <v>23</v>
      </c>
      <c r="B9" t="s">
        <v>18</v>
      </c>
      <c r="C9">
        <v>180</v>
      </c>
      <c r="D9" s="12">
        <v>3934</v>
      </c>
      <c r="E9">
        <v>7</v>
      </c>
      <c r="F9" s="6">
        <v>5</v>
      </c>
      <c r="G9" s="14">
        <v>2041</v>
      </c>
      <c r="H9" s="10">
        <v>1542</v>
      </c>
      <c r="I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1.3236057068741893</v>
      </c>
      <c r="J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4581</v>
      </c>
      <c r="K9" s="10">
        <v>2</v>
      </c>
      <c r="L9" s="10"/>
      <c r="M9" s="10"/>
      <c r="N9" s="10"/>
      <c r="O9" s="10"/>
      <c r="P9" s="10"/>
      <c r="Q9" s="10"/>
      <c r="R9" s="10"/>
      <c r="S9" s="10"/>
      <c r="T9" s="10"/>
      <c r="U9" s="10"/>
      <c r="V9" s="11"/>
    </row>
    <row r="10" spans="1:30" x14ac:dyDescent="0.25">
      <c r="A10" t="s">
        <v>52</v>
      </c>
      <c r="B10" t="s">
        <v>16</v>
      </c>
      <c r="C10">
        <v>197</v>
      </c>
      <c r="D10" s="12">
        <v>3601</v>
      </c>
      <c r="E10">
        <v>8</v>
      </c>
      <c r="F10" s="6">
        <v>7</v>
      </c>
      <c r="G10" s="14">
        <v>6025</v>
      </c>
      <c r="H10" s="10">
        <v>3061</v>
      </c>
      <c r="I1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1.9683110094740282</v>
      </c>
      <c r="J1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15014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1"/>
    </row>
    <row r="11" spans="1:30" x14ac:dyDescent="0.25">
      <c r="A11" t="s">
        <v>21</v>
      </c>
      <c r="B11" t="s">
        <v>16</v>
      </c>
      <c r="C11">
        <v>188</v>
      </c>
      <c r="D11" s="12">
        <v>3554</v>
      </c>
      <c r="E11">
        <v>9</v>
      </c>
      <c r="F11" s="6">
        <v>8</v>
      </c>
      <c r="G11" s="14">
        <v>126</v>
      </c>
      <c r="H11" s="10">
        <v>0</v>
      </c>
      <c r="I1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378</v>
      </c>
      <c r="K11" s="10">
        <v>0</v>
      </c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1"/>
    </row>
    <row r="12" spans="1:30" x14ac:dyDescent="0.25">
      <c r="A12" s="8" t="s">
        <v>33</v>
      </c>
      <c r="B12" s="8" t="s">
        <v>15</v>
      </c>
      <c r="C12" s="8">
        <v>161</v>
      </c>
      <c r="D12" s="11">
        <v>3526</v>
      </c>
      <c r="E12" s="8">
        <v>10</v>
      </c>
      <c r="F12" s="8">
        <v>10</v>
      </c>
      <c r="G12" s="15">
        <v>805</v>
      </c>
      <c r="H12" s="11">
        <v>1625</v>
      </c>
      <c r="I1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0.49538461538461537</v>
      </c>
      <c r="J1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790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1"/>
    </row>
    <row r="13" spans="1:30" x14ac:dyDescent="0.25">
      <c r="A13" t="s">
        <v>24</v>
      </c>
      <c r="B13" t="s">
        <v>15</v>
      </c>
      <c r="C13">
        <v>158</v>
      </c>
      <c r="D13" s="12">
        <v>3485</v>
      </c>
      <c r="E13">
        <v>11</v>
      </c>
      <c r="F13" s="6">
        <v>9</v>
      </c>
      <c r="G13" s="14">
        <v>1135</v>
      </c>
      <c r="H13" s="10">
        <v>466</v>
      </c>
      <c r="I1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2.4356223175965663</v>
      </c>
      <c r="J1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2939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1"/>
    </row>
    <row r="14" spans="1:30" x14ac:dyDescent="0.25">
      <c r="A14" s="5" t="s">
        <v>53</v>
      </c>
      <c r="B14" s="5" t="s">
        <v>15</v>
      </c>
      <c r="C14" s="5">
        <v>128</v>
      </c>
      <c r="D14" s="11">
        <v>3288</v>
      </c>
      <c r="E14" s="5">
        <v>12</v>
      </c>
      <c r="F14" s="5">
        <v>11</v>
      </c>
      <c r="G14" s="15">
        <v>1179</v>
      </c>
      <c r="H14" s="11">
        <v>2392</v>
      </c>
      <c r="I1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0.49289297658862874</v>
      </c>
      <c r="J1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1145</v>
      </c>
      <c r="K14" s="10">
        <v>2</v>
      </c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1"/>
    </row>
    <row r="15" spans="1:30" x14ac:dyDescent="0.25">
      <c r="A15" s="4" t="s">
        <v>34</v>
      </c>
      <c r="B15" s="4" t="s">
        <v>16</v>
      </c>
      <c r="C15" s="4">
        <v>149</v>
      </c>
      <c r="D15" s="13">
        <v>3234</v>
      </c>
      <c r="E15" s="4">
        <v>13</v>
      </c>
      <c r="F15" s="8">
        <v>12</v>
      </c>
      <c r="G15" s="15">
        <v>607</v>
      </c>
      <c r="H15" s="11">
        <v>470</v>
      </c>
      <c r="I1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1.2914893617021277</v>
      </c>
      <c r="J1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1351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1"/>
    </row>
    <row r="16" spans="1:30" x14ac:dyDescent="0.25">
      <c r="A16" t="s">
        <v>47</v>
      </c>
      <c r="B16" t="s">
        <v>16</v>
      </c>
      <c r="C16">
        <v>152</v>
      </c>
      <c r="D16" s="12">
        <v>3147</v>
      </c>
      <c r="E16">
        <v>14</v>
      </c>
      <c r="F16" s="6">
        <v>13</v>
      </c>
      <c r="G16" s="14">
        <v>174</v>
      </c>
      <c r="H16" s="10">
        <v>200</v>
      </c>
      <c r="I1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0.87</v>
      </c>
      <c r="J1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322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1"/>
    </row>
    <row r="17" spans="1:22" x14ac:dyDescent="0.2">
      <c r="A17" s="6" t="s">
        <v>25</v>
      </c>
      <c r="B17" s="6" t="s">
        <v>16</v>
      </c>
      <c r="C17" s="6">
        <v>161</v>
      </c>
      <c r="D17" s="10">
        <v>2958</v>
      </c>
      <c r="E17" s="6">
        <v>15</v>
      </c>
      <c r="F17" s="6">
        <v>0</v>
      </c>
      <c r="G17" s="14">
        <v>0</v>
      </c>
      <c r="H17" s="10">
        <v>0</v>
      </c>
      <c r="I1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1"/>
    </row>
    <row r="18" spans="1:22" x14ac:dyDescent="0.2">
      <c r="A18" t="s">
        <v>54</v>
      </c>
      <c r="B18" t="s">
        <v>16</v>
      </c>
      <c r="C18">
        <v>124</v>
      </c>
      <c r="D18" s="12">
        <v>2934</v>
      </c>
      <c r="E18">
        <v>16</v>
      </c>
      <c r="F18" s="6">
        <v>14</v>
      </c>
      <c r="G18" s="14">
        <v>15</v>
      </c>
      <c r="H18" s="10">
        <v>65</v>
      </c>
      <c r="I1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0.23076923076923078</v>
      </c>
      <c r="J1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-6.6666666666666679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1"/>
    </row>
    <row r="19" spans="1:22" x14ac:dyDescent="0.2">
      <c r="A19" t="s">
        <v>55</v>
      </c>
      <c r="B19" t="s">
        <v>16</v>
      </c>
      <c r="C19">
        <v>123</v>
      </c>
      <c r="D19" s="12">
        <v>2857</v>
      </c>
      <c r="E19">
        <v>17</v>
      </c>
      <c r="F19" s="6">
        <v>15</v>
      </c>
      <c r="G19" s="14">
        <v>77</v>
      </c>
      <c r="H19" s="10">
        <v>0</v>
      </c>
      <c r="I1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231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1"/>
    </row>
    <row r="20" spans="1:22" x14ac:dyDescent="0.2">
      <c r="A20" t="s">
        <v>50</v>
      </c>
      <c r="B20" t="s">
        <v>15</v>
      </c>
      <c r="C20">
        <v>121</v>
      </c>
      <c r="D20" s="12">
        <v>2809</v>
      </c>
      <c r="E20">
        <v>18</v>
      </c>
      <c r="F20" s="6">
        <v>16</v>
      </c>
      <c r="G20" s="14">
        <v>0</v>
      </c>
      <c r="H20" s="10">
        <v>0</v>
      </c>
      <c r="I2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0" s="10">
        <v>1</v>
      </c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1"/>
    </row>
    <row r="21" spans="1:22" x14ac:dyDescent="0.2">
      <c r="A21" t="s">
        <v>40</v>
      </c>
      <c r="B21" t="s">
        <v>16</v>
      </c>
      <c r="C21">
        <v>115</v>
      </c>
      <c r="D21" s="12">
        <v>2776</v>
      </c>
      <c r="E21">
        <v>19</v>
      </c>
      <c r="F21" s="6">
        <v>17</v>
      </c>
      <c r="G21" s="14">
        <v>210</v>
      </c>
      <c r="H21" s="10">
        <v>1474</v>
      </c>
      <c r="I2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0.14246947082767977</v>
      </c>
      <c r="J2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-281.33333333333331</v>
      </c>
      <c r="K21" s="10">
        <v>1</v>
      </c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1"/>
    </row>
    <row r="22" spans="1:22" x14ac:dyDescent="0.25">
      <c r="A22" s="6" t="s">
        <v>56</v>
      </c>
      <c r="B22" s="6" t="s">
        <v>16</v>
      </c>
      <c r="C22" s="6">
        <v>120</v>
      </c>
      <c r="D22" s="10">
        <v>2776</v>
      </c>
      <c r="E22" s="6">
        <v>20</v>
      </c>
      <c r="F22" s="6">
        <v>18</v>
      </c>
      <c r="G22" s="14">
        <v>115</v>
      </c>
      <c r="H22" s="10">
        <v>938</v>
      </c>
      <c r="I2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0.12260127931769722</v>
      </c>
      <c r="J2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-197.66666666666669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1"/>
    </row>
    <row r="23" spans="1:22" x14ac:dyDescent="0.25">
      <c r="A23" t="s">
        <v>57</v>
      </c>
      <c r="B23" t="s">
        <v>16</v>
      </c>
      <c r="C23">
        <v>145</v>
      </c>
      <c r="D23" s="12">
        <v>2688</v>
      </c>
      <c r="E23">
        <v>21</v>
      </c>
      <c r="F23" s="6">
        <v>19</v>
      </c>
      <c r="G23" s="14">
        <v>3099</v>
      </c>
      <c r="H23" s="10">
        <v>5265</v>
      </c>
      <c r="I2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0.58860398860398866</v>
      </c>
      <c r="J2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4032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1"/>
    </row>
    <row r="24" spans="1:22" x14ac:dyDescent="0.25">
      <c r="A24" s="6" t="s">
        <v>58</v>
      </c>
      <c r="B24" s="6" t="s">
        <v>16</v>
      </c>
      <c r="C24" s="6">
        <v>118</v>
      </c>
      <c r="D24" s="10">
        <v>2671</v>
      </c>
      <c r="E24" s="6">
        <v>22</v>
      </c>
      <c r="F24" s="6">
        <v>21</v>
      </c>
      <c r="G24" s="14">
        <v>68</v>
      </c>
      <c r="H24" s="10">
        <v>66</v>
      </c>
      <c r="I2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1.0303030303030303</v>
      </c>
      <c r="J2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138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1"/>
    </row>
    <row r="25" spans="1:22" x14ac:dyDescent="0.25">
      <c r="A25" t="s">
        <v>28</v>
      </c>
      <c r="B25" t="s">
        <v>18</v>
      </c>
      <c r="C25">
        <v>161</v>
      </c>
      <c r="D25" s="12">
        <v>2668</v>
      </c>
      <c r="E25">
        <v>23</v>
      </c>
      <c r="F25" s="6">
        <v>20</v>
      </c>
      <c r="G25" s="14">
        <v>0</v>
      </c>
      <c r="H25" s="10">
        <v>0</v>
      </c>
      <c r="I2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1"/>
    </row>
    <row r="26" spans="1:22" x14ac:dyDescent="0.25">
      <c r="A26" s="8" t="s">
        <v>29</v>
      </c>
      <c r="B26" s="8" t="s">
        <v>15</v>
      </c>
      <c r="C26" s="8">
        <v>156</v>
      </c>
      <c r="D26" s="11">
        <v>2628</v>
      </c>
      <c r="E26" s="8">
        <v>24</v>
      </c>
      <c r="F26" s="8">
        <v>22</v>
      </c>
      <c r="G26" s="15">
        <v>712</v>
      </c>
      <c r="H26" s="11">
        <v>130</v>
      </c>
      <c r="I2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5.476923076923077</v>
      </c>
      <c r="J2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2006</v>
      </c>
      <c r="K26" s="10">
        <v>2</v>
      </c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1"/>
    </row>
    <row r="27" spans="1:22" x14ac:dyDescent="0.25">
      <c r="A27" t="s">
        <v>35</v>
      </c>
      <c r="B27" t="s">
        <v>15</v>
      </c>
      <c r="C27">
        <v>129</v>
      </c>
      <c r="D27" s="12">
        <v>2610</v>
      </c>
      <c r="E27">
        <v>25</v>
      </c>
      <c r="F27" s="6">
        <v>24</v>
      </c>
      <c r="G27" s="14">
        <v>124</v>
      </c>
      <c r="H27" s="10">
        <v>535</v>
      </c>
      <c r="I2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0.23177570093457944</v>
      </c>
      <c r="J2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-54.333333333333343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1"/>
    </row>
    <row r="28" spans="1:22" x14ac:dyDescent="0.25">
      <c r="A28" t="s">
        <v>49</v>
      </c>
      <c r="B28" t="s">
        <v>16</v>
      </c>
      <c r="C28">
        <v>105</v>
      </c>
      <c r="D28" s="12">
        <v>2607</v>
      </c>
      <c r="E28">
        <v>26</v>
      </c>
      <c r="F28" s="6">
        <v>23</v>
      </c>
      <c r="G28" s="14">
        <v>431</v>
      </c>
      <c r="H28" s="10">
        <v>1105</v>
      </c>
      <c r="I2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0.39004524886877828</v>
      </c>
      <c r="J2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188</v>
      </c>
      <c r="K28" s="10">
        <v>0</v>
      </c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1"/>
    </row>
    <row r="29" spans="1:22" x14ac:dyDescent="0.25">
      <c r="A29" s="4" t="s">
        <v>26</v>
      </c>
      <c r="B29" s="4" t="s">
        <v>16</v>
      </c>
      <c r="C29" s="4">
        <v>149</v>
      </c>
      <c r="D29" s="13">
        <v>2575</v>
      </c>
      <c r="E29" s="4">
        <v>27</v>
      </c>
      <c r="F29" s="8">
        <v>25</v>
      </c>
      <c r="G29" s="15">
        <v>0</v>
      </c>
      <c r="H29" s="11">
        <v>0</v>
      </c>
      <c r="I2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1"/>
    </row>
    <row r="30" spans="1:22" x14ac:dyDescent="0.25">
      <c r="A30" t="s">
        <v>29</v>
      </c>
      <c r="B30" t="s">
        <v>16</v>
      </c>
      <c r="C30">
        <v>145</v>
      </c>
      <c r="D30" s="12">
        <v>2568</v>
      </c>
      <c r="E30">
        <v>28</v>
      </c>
      <c r="F30" s="6">
        <v>26</v>
      </c>
      <c r="G30" s="14">
        <v>0</v>
      </c>
      <c r="H30" s="10">
        <v>0</v>
      </c>
      <c r="I3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1"/>
    </row>
    <row r="31" spans="1:22" x14ac:dyDescent="0.25">
      <c r="A31" s="6" t="s">
        <v>59</v>
      </c>
      <c r="B31" s="6" t="s">
        <v>16</v>
      </c>
      <c r="C31" s="6">
        <v>129</v>
      </c>
      <c r="D31" s="10">
        <v>2547</v>
      </c>
      <c r="E31" s="6">
        <v>29</v>
      </c>
      <c r="F31" s="6">
        <v>27</v>
      </c>
      <c r="G31" s="14">
        <v>337</v>
      </c>
      <c r="H31" s="10">
        <v>1544</v>
      </c>
      <c r="I3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0.21826424870466321</v>
      </c>
      <c r="J3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-177.66666666666663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1"/>
    </row>
    <row r="32" spans="1:22" x14ac:dyDescent="0.25">
      <c r="A32" s="4" t="s">
        <v>60</v>
      </c>
      <c r="B32" s="4" t="s">
        <v>16</v>
      </c>
      <c r="C32" s="4">
        <v>119</v>
      </c>
      <c r="D32" s="13">
        <v>2454</v>
      </c>
      <c r="E32" s="4">
        <v>30</v>
      </c>
      <c r="F32" s="8">
        <v>28</v>
      </c>
      <c r="G32" s="15">
        <v>192</v>
      </c>
      <c r="H32" s="11">
        <v>396</v>
      </c>
      <c r="I3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0.48484848484848486</v>
      </c>
      <c r="J3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180</v>
      </c>
      <c r="K32" s="10">
        <v>1</v>
      </c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1"/>
    </row>
    <row r="33" spans="1:22" x14ac:dyDescent="0.25">
      <c r="A33" t="s">
        <v>61</v>
      </c>
      <c r="B33" t="s">
        <v>16</v>
      </c>
      <c r="C33">
        <v>131</v>
      </c>
      <c r="D33" s="12">
        <v>2327</v>
      </c>
      <c r="E33">
        <v>31</v>
      </c>
      <c r="F33" s="6">
        <v>29</v>
      </c>
      <c r="G33" s="14">
        <v>79</v>
      </c>
      <c r="H33" s="10">
        <v>66</v>
      </c>
      <c r="I3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1.196969696969697</v>
      </c>
      <c r="J3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171</v>
      </c>
      <c r="K33" s="10">
        <v>1</v>
      </c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1"/>
    </row>
    <row r="34" spans="1:22" x14ac:dyDescent="0.25">
      <c r="A34" t="s">
        <v>62</v>
      </c>
      <c r="B34" t="s">
        <v>16</v>
      </c>
      <c r="C34">
        <v>133</v>
      </c>
      <c r="D34" s="12">
        <v>2304</v>
      </c>
      <c r="E34">
        <v>32</v>
      </c>
      <c r="F34" s="6">
        <v>30</v>
      </c>
      <c r="G34" s="14">
        <v>0</v>
      </c>
      <c r="H34" s="10">
        <v>66</v>
      </c>
      <c r="I3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1"/>
    </row>
    <row r="35" spans="1:22" x14ac:dyDescent="0.25">
      <c r="A35" t="s">
        <v>63</v>
      </c>
      <c r="B35" t="s">
        <v>16</v>
      </c>
      <c r="C35">
        <v>119</v>
      </c>
      <c r="D35" s="12">
        <v>2284</v>
      </c>
      <c r="E35">
        <v>33</v>
      </c>
      <c r="F35" s="6">
        <v>32</v>
      </c>
      <c r="G35" s="14">
        <v>0</v>
      </c>
      <c r="H35" s="10">
        <v>67</v>
      </c>
      <c r="I3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-22.333333333333332</v>
      </c>
      <c r="K35" s="10">
        <v>0</v>
      </c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1"/>
    </row>
    <row r="36" spans="1:22" x14ac:dyDescent="0.25">
      <c r="A36" t="s">
        <v>64</v>
      </c>
      <c r="B36" t="s">
        <v>16</v>
      </c>
      <c r="C36">
        <v>111</v>
      </c>
      <c r="D36" s="12">
        <v>2269</v>
      </c>
      <c r="E36">
        <v>34</v>
      </c>
      <c r="F36" s="6">
        <v>33</v>
      </c>
      <c r="G36" s="14">
        <v>0</v>
      </c>
      <c r="H36" s="10">
        <v>66</v>
      </c>
      <c r="I3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1"/>
    </row>
    <row r="37" spans="1:22" x14ac:dyDescent="0.25">
      <c r="A37" s="3" t="s">
        <v>65</v>
      </c>
      <c r="B37" s="3" t="s">
        <v>16</v>
      </c>
      <c r="C37" s="3">
        <v>132</v>
      </c>
      <c r="D37" s="10">
        <v>2263</v>
      </c>
      <c r="E37" s="3">
        <v>35</v>
      </c>
      <c r="F37" s="3">
        <v>31</v>
      </c>
      <c r="G37" s="14">
        <v>2</v>
      </c>
      <c r="H37" s="10">
        <v>0</v>
      </c>
      <c r="I3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3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6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1"/>
    </row>
    <row r="38" spans="1:22" x14ac:dyDescent="0.25">
      <c r="A38" t="s">
        <v>39</v>
      </c>
      <c r="B38" t="s">
        <v>16</v>
      </c>
      <c r="C38">
        <v>120</v>
      </c>
      <c r="D38" s="12">
        <v>2224</v>
      </c>
      <c r="E38">
        <v>36</v>
      </c>
      <c r="F38" s="6">
        <v>34</v>
      </c>
      <c r="G38" s="14">
        <v>942</v>
      </c>
      <c r="H38" s="10">
        <v>364</v>
      </c>
      <c r="I3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2.587912087912088</v>
      </c>
      <c r="J3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2462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1"/>
    </row>
    <row r="39" spans="1:22" x14ac:dyDescent="0.25">
      <c r="A39" t="s">
        <v>66</v>
      </c>
      <c r="B39" t="s">
        <v>16</v>
      </c>
      <c r="C39">
        <v>124</v>
      </c>
      <c r="D39" s="12">
        <v>2153</v>
      </c>
      <c r="E39">
        <v>37</v>
      </c>
      <c r="F39" s="6">
        <v>35</v>
      </c>
      <c r="G39" s="14">
        <v>310</v>
      </c>
      <c r="H39" s="10">
        <v>0</v>
      </c>
      <c r="I3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3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930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1"/>
    </row>
    <row r="40" spans="1:22" x14ac:dyDescent="0.25">
      <c r="A40" t="s">
        <v>67</v>
      </c>
      <c r="B40" t="s">
        <v>16</v>
      </c>
      <c r="C40">
        <v>143</v>
      </c>
      <c r="D40" s="12">
        <v>2151</v>
      </c>
      <c r="E40">
        <v>38</v>
      </c>
      <c r="F40" s="6">
        <v>0</v>
      </c>
      <c r="G40" s="14">
        <v>37</v>
      </c>
      <c r="H40" s="10">
        <v>171</v>
      </c>
      <c r="I4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0.21637426900584794</v>
      </c>
      <c r="J4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-20</v>
      </c>
      <c r="K40" s="10">
        <v>1</v>
      </c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1"/>
    </row>
    <row r="41" spans="1:22" x14ac:dyDescent="0.25">
      <c r="A41" t="s">
        <v>68</v>
      </c>
      <c r="B41" t="s">
        <v>16</v>
      </c>
      <c r="C41">
        <v>104</v>
      </c>
      <c r="D41" s="12">
        <v>2110</v>
      </c>
      <c r="E41">
        <v>39</v>
      </c>
      <c r="F41" s="6">
        <v>0</v>
      </c>
      <c r="G41" s="14">
        <v>0</v>
      </c>
      <c r="H41" s="10">
        <v>0</v>
      </c>
      <c r="I4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1"/>
    </row>
    <row r="42" spans="1:22" x14ac:dyDescent="0.25">
      <c r="A42" s="6" t="s">
        <v>69</v>
      </c>
      <c r="B42" s="6" t="s">
        <v>16</v>
      </c>
      <c r="C42" s="6">
        <v>100</v>
      </c>
      <c r="D42" s="10">
        <v>2094</v>
      </c>
      <c r="E42" s="6">
        <v>40</v>
      </c>
      <c r="F42" s="6">
        <v>0</v>
      </c>
      <c r="G42" s="14">
        <v>0</v>
      </c>
      <c r="H42" s="10">
        <v>0</v>
      </c>
      <c r="I4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1"/>
    </row>
    <row r="43" spans="1:22" x14ac:dyDescent="0.25">
      <c r="A43" t="s">
        <v>70</v>
      </c>
      <c r="B43" t="s">
        <v>16</v>
      </c>
      <c r="C43">
        <v>111</v>
      </c>
      <c r="D43" s="12">
        <v>2074</v>
      </c>
      <c r="E43">
        <v>41</v>
      </c>
      <c r="F43" s="6">
        <v>37</v>
      </c>
      <c r="G43" s="14">
        <v>92</v>
      </c>
      <c r="H43" s="10">
        <v>167</v>
      </c>
      <c r="I4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0.55089820359281438</v>
      </c>
      <c r="J4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109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1"/>
    </row>
    <row r="44" spans="1:22" x14ac:dyDescent="0.25">
      <c r="A44" t="s">
        <v>42</v>
      </c>
      <c r="B44" t="s">
        <v>16</v>
      </c>
      <c r="C44">
        <v>112</v>
      </c>
      <c r="D44" s="12">
        <v>1951</v>
      </c>
      <c r="E44">
        <v>42</v>
      </c>
      <c r="F44" s="6">
        <v>38</v>
      </c>
      <c r="G44" s="14">
        <v>0</v>
      </c>
      <c r="H44" s="10">
        <v>0</v>
      </c>
      <c r="I4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1"/>
    </row>
    <row r="45" spans="1:22" x14ac:dyDescent="0.25">
      <c r="A45" t="s">
        <v>41</v>
      </c>
      <c r="B45" t="s">
        <v>15</v>
      </c>
      <c r="C45">
        <v>185</v>
      </c>
      <c r="D45" s="12">
        <v>1902</v>
      </c>
      <c r="E45">
        <v>43</v>
      </c>
      <c r="F45" s="6">
        <v>36</v>
      </c>
      <c r="G45" s="14">
        <v>489</v>
      </c>
      <c r="H45" s="10">
        <v>168</v>
      </c>
      <c r="I4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2.9107142857142856</v>
      </c>
      <c r="J4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1299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1"/>
    </row>
    <row r="46" spans="1:22" x14ac:dyDescent="0.25">
      <c r="A46" t="s">
        <v>48</v>
      </c>
      <c r="B46" t="s">
        <v>15</v>
      </c>
      <c r="C46">
        <v>118</v>
      </c>
      <c r="D46" s="12">
        <v>1850</v>
      </c>
      <c r="E46">
        <v>44</v>
      </c>
      <c r="F46" s="6">
        <v>39</v>
      </c>
      <c r="G46" s="14">
        <v>581</v>
      </c>
      <c r="H46" s="10">
        <v>413</v>
      </c>
      <c r="I4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1.4067796610169492</v>
      </c>
      <c r="J4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1330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1"/>
    </row>
    <row r="47" spans="1:22" x14ac:dyDescent="0.25">
      <c r="A47" s="8" t="s">
        <v>42</v>
      </c>
      <c r="B47" s="8" t="s">
        <v>16</v>
      </c>
      <c r="C47" s="8">
        <v>116</v>
      </c>
      <c r="D47" s="11">
        <v>1844</v>
      </c>
      <c r="E47" s="8">
        <v>45</v>
      </c>
      <c r="F47" s="8">
        <v>40</v>
      </c>
      <c r="G47" s="15">
        <v>283</v>
      </c>
      <c r="H47" s="11">
        <v>264</v>
      </c>
      <c r="I4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1.071969696969697</v>
      </c>
      <c r="J4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585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1"/>
    </row>
    <row r="48" spans="1:22" x14ac:dyDescent="0.25">
      <c r="A48" t="s">
        <v>30</v>
      </c>
      <c r="B48" t="s">
        <v>18</v>
      </c>
      <c r="C48">
        <v>114</v>
      </c>
      <c r="D48" s="12">
        <v>1762</v>
      </c>
      <c r="E48">
        <v>46</v>
      </c>
      <c r="F48" s="6">
        <v>41</v>
      </c>
      <c r="G48" s="14">
        <v>0</v>
      </c>
      <c r="H48" s="10">
        <v>0</v>
      </c>
      <c r="I4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1"/>
    </row>
    <row r="49" spans="1:22" x14ac:dyDescent="0.25">
      <c r="A49" t="s">
        <v>71</v>
      </c>
      <c r="B49" t="s">
        <v>16</v>
      </c>
      <c r="C49">
        <v>107</v>
      </c>
      <c r="D49" s="12">
        <v>1715</v>
      </c>
      <c r="E49">
        <v>47</v>
      </c>
      <c r="F49" s="6">
        <v>42</v>
      </c>
      <c r="G49" s="14">
        <v>0</v>
      </c>
      <c r="H49" s="10">
        <v>239</v>
      </c>
      <c r="I4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-79.666666666666671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1"/>
    </row>
    <row r="50" spans="1:22" x14ac:dyDescent="0.25">
      <c r="A50" t="s">
        <v>72</v>
      </c>
      <c r="B50" t="s">
        <v>16</v>
      </c>
      <c r="C50">
        <v>74</v>
      </c>
      <c r="D50" s="12">
        <v>1413</v>
      </c>
      <c r="E50">
        <v>48</v>
      </c>
      <c r="F50" s="6">
        <v>43</v>
      </c>
      <c r="G50" s="14">
        <v>35</v>
      </c>
      <c r="H50" s="10">
        <v>102</v>
      </c>
      <c r="I5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0.34313725490196079</v>
      </c>
      <c r="J5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1"/>
    </row>
    <row r="51" spans="1:22" x14ac:dyDescent="0.25">
      <c r="F51" s="6"/>
      <c r="G51" s="14"/>
      <c r="H51" s="10"/>
      <c r="I5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1"/>
    </row>
    <row r="52" spans="1:22" x14ac:dyDescent="0.25">
      <c r="A52" s="4"/>
      <c r="B52" s="4"/>
      <c r="C52" s="4"/>
      <c r="D52" s="13"/>
      <c r="E52" s="4"/>
      <c r="F52" s="8"/>
      <c r="G52" s="15"/>
      <c r="H52" s="11"/>
      <c r="I5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1"/>
    </row>
    <row r="53" spans="1:22" x14ac:dyDescent="0.25">
      <c r="D53" s="16"/>
      <c r="G53" s="16"/>
      <c r="H53" s="16"/>
      <c r="I53" s="9"/>
      <c r="J53" s="16"/>
      <c r="K53" s="32"/>
      <c r="L53" s="32"/>
      <c r="M53" s="32"/>
      <c r="N53" s="32"/>
      <c r="O53" s="32"/>
      <c r="P53" s="32"/>
      <c r="Q53"/>
      <c r="R53"/>
      <c r="S53"/>
      <c r="T53"/>
      <c r="U53"/>
      <c r="V53" s="25"/>
    </row>
  </sheetData>
  <sortState ref="A3:Q52">
    <sortCondition descending="1" ref="D3"/>
  </sortState>
  <mergeCells count="1">
    <mergeCell ref="A1:I1"/>
  </mergeCells>
  <conditionalFormatting sqref="B3:B52">
    <cfRule type="beginsWith" dxfId="30" priority="8" operator="beginsWith" text="leader">
      <formula>LEFT(B3,LEN("leader"))="leader"</formula>
    </cfRule>
    <cfRule type="containsText" dxfId="29" priority="9" operator="containsText" text="coLeader">
      <formula>NOT(ISERROR(SEARCH("coLeader",B3)))</formula>
    </cfRule>
    <cfRule type="containsText" dxfId="28" priority="10" operator="containsText" text="admin">
      <formula>NOT(ISERROR(SEARCH("admin",B3)))</formula>
    </cfRule>
    <cfRule type="containsText" dxfId="27" priority="11" operator="containsText" text="member">
      <formula>NOT(ISERROR(SEARCH("member",B3)))</formula>
    </cfRule>
  </conditionalFormatting>
  <conditionalFormatting sqref="J3:V3 J20:V53 J4:R19 T4:V19">
    <cfRule type="cellIs" dxfId="26" priority="6" operator="lessThan">
      <formula>0</formula>
    </cfRule>
  </conditionalFormatting>
  <conditionalFormatting sqref="I54:V1048576 I2:V3 I20:V52 I4:R19 T4:V19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V3 I20:V52 I4:R19 T4:V19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conditionalFormatting sqref="S4:S19">
    <cfRule type="cellIs" dxfId="25" priority="1" operator="lessThan">
      <formula>0</formula>
    </cfRule>
  </conditionalFormatting>
  <conditionalFormatting sqref="S4:S1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{2BF2E778-FB9C-4D40-8387-E477ADEB3256}</x14:id>
        </ext>
      </extLst>
    </cfRule>
  </conditionalFormatting>
  <conditionalFormatting sqref="S4:S1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{52AFEE8D-6307-49D5-A277-22D2ADD512B2}</x14:id>
        </ext>
      </extLst>
    </cfRule>
  </conditionalFormatting>
  <hyperlinks>
    <hyperlink ref="AB4" r:id="rId1"/>
    <hyperlink ref="AB5" r:id="rId2" location="clanTag=VQPVPJ09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JSON">
                <anchor moveWithCells="1" sizeWithCells="1">
                  <from>
                    <xdr:col>22</xdr:col>
                    <xdr:colOff>19050</xdr:colOff>
                    <xdr:row>2</xdr:row>
                    <xdr:rowOff>0</xdr:rowOff>
                  </from>
                  <to>
                    <xdr:col>26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ClanListeLeeren">
                <anchor moveWithCells="1" sizeWithCells="1">
                  <from>
                    <xdr:col>22</xdr:col>
                    <xdr:colOff>28575</xdr:colOff>
                    <xdr:row>7</xdr:row>
                    <xdr:rowOff>0</xdr:rowOff>
                  </from>
                  <to>
                    <xdr:col>26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sortierenSpenden">
                <anchor moveWithCells="1" sizeWithCells="1">
                  <from>
                    <xdr:col>22</xdr:col>
                    <xdr:colOff>28575</xdr:colOff>
                    <xdr:row>12</xdr:row>
                    <xdr:rowOff>66675</xdr:rowOff>
                  </from>
                  <to>
                    <xdr:col>26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" name="Button 25">
              <controlPr defaultSize="0" print="0" autoFill="0" autoPict="0" macro="[0]!sortierenTrophäen">
                <anchor moveWithCells="1" sizeWithCells="1">
                  <from>
                    <xdr:col>22</xdr:col>
                    <xdr:colOff>38100</xdr:colOff>
                    <xdr:row>31</xdr:row>
                    <xdr:rowOff>28575</xdr:rowOff>
                  </from>
                  <to>
                    <xdr:col>26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PDFExport">
                <anchor moveWithCells="1" sizeWithCells="1">
                  <from>
                    <xdr:col>22</xdr:col>
                    <xdr:colOff>38100</xdr:colOff>
                    <xdr:row>37</xdr:row>
                    <xdr:rowOff>76200</xdr:rowOff>
                  </from>
                  <to>
                    <xdr:col>26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Button 27">
              <controlPr defaultSize="0" print="0" autoFill="0" autoPict="0" macro="[0]!sortierenGespendet">
                <anchor moveWithCells="1" sizeWithCells="1">
                  <from>
                    <xdr:col>22</xdr:col>
                    <xdr:colOff>28575</xdr:colOff>
                    <xdr:row>18</xdr:row>
                    <xdr:rowOff>95250</xdr:rowOff>
                  </from>
                  <to>
                    <xdr:col>26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2" name="Button 28">
              <controlPr defaultSize="0" print="0" autoFill="0" autoPict="0" macro="[0]!sortierenSpendenErhalten">
                <anchor moveWithCells="1" sizeWithCells="1">
                  <from>
                    <xdr:col>22</xdr:col>
                    <xdr:colOff>38100</xdr:colOff>
                    <xdr:row>24</xdr:row>
                    <xdr:rowOff>104775</xdr:rowOff>
                  </from>
                  <to>
                    <xdr:col>26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3" name="Button 29">
              <controlPr defaultSize="0" print="0" autoFill="0" autoPict="0" macro="[0]!sortierenSpendenbudget">
                <anchor moveWithCells="1" sizeWithCells="1">
                  <from>
                    <xdr:col>26</xdr:col>
                    <xdr:colOff>304800</xdr:colOff>
                    <xdr:row>12</xdr:row>
                    <xdr:rowOff>66675</xdr:rowOff>
                  </from>
                  <to>
                    <xdr:col>29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I54:V1048576 I2:V3 I20:V52 I4:R19 T4:V19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I3:V3 I20:V52 I4:R19 T4:V19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2BF2E778-FB9C-4D40-8387-E477ADEB3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  <x14:conditionalFormatting xmlns:xm="http://schemas.microsoft.com/office/excel/2006/main">
          <x14:cfRule type="dataBar" id="{52AFEE8D-6307-49D5-A277-22D2ADD51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Clanübersicht</vt:lpstr>
      <vt:lpstr>APIurl</vt:lpstr>
      <vt:lpstr>Clanübersicht!Druckbereich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Waitz</dc:creator>
  <cp:lastModifiedBy>p.waitz@gmx.de</cp:lastModifiedBy>
  <cp:lastPrinted>2021-04-08T18:53:29Z</cp:lastPrinted>
  <dcterms:created xsi:type="dcterms:W3CDTF">2006-09-16T00:00:00Z</dcterms:created>
  <dcterms:modified xsi:type="dcterms:W3CDTF">2021-04-08T19:27:24Z</dcterms:modified>
</cp:coreProperties>
</file>