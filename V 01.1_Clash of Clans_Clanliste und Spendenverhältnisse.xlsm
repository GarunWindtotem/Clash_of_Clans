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5831" codeName="{AE6600E7-7A62-396C-DE95-9942FA9DD81E}"/>
  <workbookPr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D:\Github\Clash_of_Clans\"/>
    </mc:Choice>
  </mc:AlternateContent>
  <xr:revisionPtr revIDLastSave="0" documentId="13_ncr:1_{B9211241-60CA-4B36-91B6-663E33B0D9FF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Clanübersicht" sheetId="1" r:id="rId1"/>
    <sheet name="CKL" sheetId="4" r:id="rId2"/>
  </sheets>
  <functionGroups builtInGroupCount="19"/>
  <definedNames>
    <definedName name="_xlnm._FilterDatabase" localSheetId="0" hidden="1">Clanübersicht!$A$2:$I$56</definedName>
    <definedName name="APIurl">Clanübersicht!$AC$4</definedName>
    <definedName name="_xlnm.Print_Area" localSheetId="0">Clanübersicht!$A$1:$J$53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30" i="1" l="1"/>
  <c r="J12" i="1"/>
  <c r="J37" i="1"/>
  <c r="J45" i="1"/>
  <c r="J10" i="1"/>
  <c r="J4" i="1"/>
  <c r="J26" i="1"/>
  <c r="J41" i="1"/>
  <c r="J28" i="1"/>
  <c r="J44" i="1"/>
  <c r="J9" i="1"/>
  <c r="J3" i="1"/>
  <c r="J23" i="1"/>
  <c r="J52" i="1"/>
  <c r="J17" i="1"/>
  <c r="J13" i="1"/>
  <c r="J25" i="1"/>
  <c r="J21" i="1"/>
  <c r="J18" i="1"/>
  <c r="J31" i="1"/>
  <c r="J15" i="1"/>
  <c r="J8" i="1"/>
  <c r="J49" i="1"/>
  <c r="J16" i="1"/>
  <c r="J38" i="1"/>
  <c r="J46" i="1"/>
  <c r="J11" i="1"/>
  <c r="J22" i="1"/>
  <c r="J50" i="1"/>
  <c r="J32" i="1"/>
  <c r="J47" i="1"/>
  <c r="J7" i="1"/>
  <c r="J14" i="1"/>
  <c r="J51" i="1"/>
  <c r="J27" i="1"/>
  <c r="J6" i="1"/>
  <c r="J40" i="1"/>
  <c r="J34" i="1"/>
  <c r="J36" i="1"/>
  <c r="J5" i="1"/>
  <c r="J33" i="1"/>
  <c r="J42" i="1"/>
  <c r="J29" i="1"/>
  <c r="J48" i="1"/>
  <c r="J43" i="1"/>
  <c r="J20" i="1"/>
  <c r="J24" i="1"/>
  <c r="J19" i="1"/>
  <c r="J39" i="1"/>
  <c r="J35" i="1"/>
  <c r="J1" i="1"/>
  <c r="I6" i="1"/>
  <c r="I20" i="1"/>
  <c r="I7" i="1"/>
  <c r="I26" i="1"/>
  <c r="I8" i="1"/>
  <c r="I47" i="1"/>
  <c r="I5" i="1"/>
  <c r="I3" i="1"/>
  <c r="I9" i="1"/>
  <c r="I4" i="1"/>
  <c r="I21" i="1"/>
  <c r="I38" i="1"/>
  <c r="I42" i="1"/>
  <c r="I48" i="1"/>
  <c r="I33" i="1"/>
  <c r="I24" i="1"/>
  <c r="I51" i="1"/>
  <c r="I50" i="1"/>
  <c r="I14" i="1"/>
  <c r="I23" i="1"/>
  <c r="I49" i="1"/>
  <c r="I35" i="1"/>
  <c r="I32" i="1"/>
  <c r="I12" i="1"/>
  <c r="I18" i="1"/>
  <c r="I27" i="1"/>
  <c r="I41" i="1"/>
  <c r="I22" i="1"/>
  <c r="I13" i="1"/>
  <c r="I10" i="1"/>
  <c r="I16" i="1"/>
  <c r="I34" i="1"/>
  <c r="I40" i="1"/>
  <c r="I15" i="1"/>
  <c r="I36" i="1"/>
  <c r="I45" i="1"/>
  <c r="I31" i="1"/>
  <c r="I25" i="1"/>
  <c r="I17" i="1"/>
  <c r="I30" i="1"/>
  <c r="I29" i="1"/>
  <c r="I28" i="1"/>
  <c r="I11" i="1"/>
  <c r="I46" i="1"/>
  <c r="I44" i="1"/>
  <c r="I52" i="1"/>
  <c r="I43" i="1"/>
  <c r="I19" i="1"/>
  <c r="I39" i="1"/>
  <c r="I37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Autor</author>
  </authors>
  <commentList>
    <comment ref="AD6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diese Zelle geht in das VBA Programm für den Datenabruf</t>
        </r>
      </text>
    </comment>
  </commentList>
</comments>
</file>

<file path=xl/sharedStrings.xml><?xml version="1.0" encoding="utf-8"?>
<sst xmlns="http://schemas.openxmlformats.org/spreadsheetml/2006/main" count="127" uniqueCount="80">
  <si>
    <t>Name</t>
  </si>
  <si>
    <t>Spendenverhältnis</t>
  </si>
  <si>
    <t>Spenden erhalten</t>
  </si>
  <si>
    <t>Datenquelle JSON</t>
  </si>
  <si>
    <t>Clanseite</t>
  </si>
  <si>
    <t>INFO:</t>
  </si>
  <si>
    <t>Clanübersichtsliste &amp; Spendenverhältnis</t>
  </si>
  <si>
    <t>Trophäen</t>
  </si>
  <si>
    <t>Gespendet</t>
  </si>
  <si>
    <t>EP
Punkte</t>
  </si>
  <si>
    <t>Clan Rang Neu</t>
  </si>
  <si>
    <t>Clan Rang Bisher</t>
  </si>
  <si>
    <t>Rolle</t>
  </si>
  <si>
    <t>Spendenbudget</t>
  </si>
  <si>
    <r>
      <rPr>
        <b/>
        <sz val="11"/>
        <color theme="1"/>
        <rFont val="Calibri"/>
        <family val="2"/>
        <scheme val="minor"/>
      </rPr>
      <t>Clan Tag:</t>
    </r>
    <r>
      <rPr>
        <sz val="11"/>
        <color theme="1"/>
        <rFont val="Calibri"/>
        <family val="2"/>
        <scheme val="minor"/>
      </rPr>
      <t xml:space="preserve"> </t>
    </r>
  </si>
  <si>
    <t>admin</t>
  </si>
  <si>
    <t>member</t>
  </si>
  <si>
    <t>leader</t>
  </si>
  <si>
    <t>coLeader</t>
  </si>
  <si>
    <t>Asarius</t>
  </si>
  <si>
    <t>Beatle</t>
  </si>
  <si>
    <t>Garun Windtotem</t>
  </si>
  <si>
    <t>Stunnah</t>
  </si>
  <si>
    <t>Asaretto</t>
  </si>
  <si>
    <t>Julius</t>
  </si>
  <si>
    <t>VQPVPJ09</t>
  </si>
  <si>
    <t>MeisterHo</t>
  </si>
  <si>
    <t>Finster KÃ¶nig</t>
  </si>
  <si>
    <t>CK 1 Angriff</t>
  </si>
  <si>
    <t>CK2 Angriff</t>
  </si>
  <si>
    <t>CK3 Angriff</t>
  </si>
  <si>
    <t>Bick</t>
  </si>
  <si>
    <t>CK4 Angriff</t>
  </si>
  <si>
    <t>CK5 Angriff</t>
  </si>
  <si>
    <t>CK6 Angriff</t>
  </si>
  <si>
    <t>CK7 Angriff</t>
  </si>
  <si>
    <t>â ARES â</t>
  </si>
  <si>
    <t>âZEUSâ</t>
  </si>
  <si>
    <t>Djoser</t>
  </si>
  <si>
    <t>https://api.clashofclans.com/v1/clans/VQPVPJ09/warlog</t>
  </si>
  <si>
    <t>Warlog</t>
  </si>
  <si>
    <t>CK mitgenommen obwohl rot</t>
  </si>
  <si>
    <t>Mogli</t>
  </si>
  <si>
    <t>EL-SE 989</t>
  </si>
  <si>
    <t>EL-FE 989</t>
  </si>
  <si>
    <t>EL-KE 989</t>
  </si>
  <si>
    <t>Jurich</t>
  </si>
  <si>
    <t>Domi94</t>
  </si>
  <si>
    <t>Ben7580</t>
  </si>
  <si>
    <t>Demon5</t>
  </si>
  <si>
    <t>jojoschnuppe</t>
  </si>
  <si>
    <t>JulEhr</t>
  </si>
  <si>
    <t>invtrnxl</t>
  </si>
  <si>
    <t>Schofseckel</t>
  </si>
  <si>
    <t>DYLAN DOG</t>
  </si>
  <si>
    <t>gnMarek</t>
  </si>
  <si>
    <t>HXGX</t>
  </si>
  <si>
    <t>LERRY</t>
  </si>
  <si>
    <t>lio~san</t>
  </si>
  <si>
    <t>lureba</t>
  </si>
  <si>
    <t>Offline</t>
  </si>
  <si>
    <t>chillo1001</t>
  </si>
  <si>
    <t>CLASH KÃMPFER 9</t>
  </si>
  <si>
    <t>XXHamsterBro</t>
  </si>
  <si>
    <t>mig027</t>
  </si>
  <si>
    <t>sid_king</t>
  </si>
  <si>
    <t>Twink</t>
  </si>
  <si>
    <t>jonas Lp</t>
  </si>
  <si>
    <t>Jonas</t>
  </si>
  <si>
    <t>Matteo</t>
  </si>
  <si>
    <t>HÃUPTLING</t>
  </si>
  <si>
    <t>DarkFighter</t>
  </si>
  <si>
    <t>Itz_PainzZ</t>
  </si>
  <si>
    <t>CHEGUVARA</t>
  </si>
  <si>
    <t>Godzilla</t>
  </si>
  <si>
    <t>CHE</t>
  </si>
  <si>
    <t>MBoss</t>
  </si>
  <si>
    <t>abo ismaeil</t>
  </si>
  <si>
    <t>Einfach_Feli</t>
  </si>
  <si>
    <t>CKL Nr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</si>
</sst>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_-* #,##0.00\ _€_-;\-* #,##0.00\ _€_-;_-* &quot;-&quot;??\ _€_-;_-@_-"/>
    <numFmt numFmtId="165" formatCode="_-* #,##0\ _€_-;\-* #,##0\ _€_-;_-* &quot;-&quot;??\ _€_-;_-@_-"/>
  </numFmts>
  <fonts count="1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28"/>
      <color theme="1"/>
      <name val="Calibri"/>
      <family val="2"/>
      <scheme val="minor"/>
    </font>
    <font>
      <b/>
      <sz val="11"/>
      <color rgb="FF01AF37"/>
      <name val="Calibri"/>
      <family val="2"/>
      <scheme val="minor"/>
    </font>
    <font>
      <sz val="16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4"/>
      <color rgb="FF0000FF"/>
      <name val="Calibri"/>
      <family val="2"/>
    </font>
    <font>
      <b/>
      <sz val="14"/>
      <color rgb="FFFF0000"/>
      <name val="Calibri"/>
      <family val="2"/>
    </font>
    <font>
      <sz val="11"/>
      <color rgb="FFFF0000"/>
      <name val="Calibri"/>
      <family val="2"/>
    </font>
    <font>
      <sz val="1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rgb="FF0066FF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FF00"/>
        <bgColor indexed="64"/>
      </patternFill>
    </fill>
  </fills>
  <borders count="8">
    <border>
      <left/>
      <right/>
      <top/>
      <bottom/>
      <diagonal/>
    </border>
    <border>
      <left style="thin">
        <color theme="7"/>
      </left>
      <right style="thin">
        <color theme="7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0" fontId="3" fillId="0" borderId="0" applyNumberFormat="0" applyFill="0" applyBorder="0" applyAlignment="0" applyProtection="0"/>
    <xf numFmtId="164" fontId="1" fillId="0" borderId="0" applyFont="0" applyFill="0" applyBorder="0" applyAlignment="0" applyProtection="0"/>
  </cellStyleXfs>
  <cellXfs count="30">
    <xf numFmtId="0" fontId="0" fillId="0" borderId="0" xfId="0"/>
    <xf numFmtId="9" fontId="0" fillId="0" borderId="0" xfId="1" applyFont="1"/>
    <xf numFmtId="0" fontId="2" fillId="0" borderId="0" xfId="0" applyFont="1"/>
    <xf numFmtId="9" fontId="0" fillId="0" borderId="0" xfId="0" applyNumberFormat="1"/>
    <xf numFmtId="165" fontId="0" fillId="0" borderId="0" xfId="3" applyNumberFormat="1" applyFont="1" applyBorder="1"/>
    <xf numFmtId="165" fontId="0" fillId="0" borderId="0" xfId="3" applyNumberFormat="1" applyFont="1" applyFill="1" applyBorder="1"/>
    <xf numFmtId="165" fontId="0" fillId="0" borderId="0" xfId="3" applyNumberFormat="1" applyFont="1"/>
    <xf numFmtId="165" fontId="0" fillId="0" borderId="0" xfId="3" applyNumberFormat="1" applyFont="1" applyFill="1"/>
    <xf numFmtId="165" fontId="5" fillId="0" borderId="0" xfId="3" applyNumberFormat="1" applyFont="1" applyFill="1" applyBorder="1"/>
    <xf numFmtId="165" fontId="0" fillId="0" borderId="0" xfId="0" applyNumberFormat="1"/>
    <xf numFmtId="14" fontId="0" fillId="0" borderId="0" xfId="0" applyNumberFormat="1"/>
    <xf numFmtId="14" fontId="6" fillId="0" borderId="0" xfId="0" applyNumberFormat="1" applyFont="1"/>
    <xf numFmtId="0" fontId="7" fillId="3" borderId="0" xfId="0" applyFont="1" applyFill="1" applyAlignment="1">
      <alignment wrapText="1"/>
    </xf>
    <xf numFmtId="165" fontId="7" fillId="3" borderId="0" xfId="3" applyNumberFormat="1" applyFont="1" applyFill="1" applyBorder="1" applyAlignment="1">
      <alignment wrapText="1"/>
    </xf>
    <xf numFmtId="9" fontId="7" fillId="3" borderId="0" xfId="1" applyFont="1" applyFill="1" applyBorder="1" applyAlignment="1">
      <alignment wrapText="1"/>
    </xf>
    <xf numFmtId="165" fontId="7" fillId="3" borderId="1" xfId="3" applyNumberFormat="1" applyFont="1" applyFill="1" applyBorder="1" applyAlignment="1">
      <alignment wrapText="1"/>
    </xf>
    <xf numFmtId="165" fontId="7" fillId="0" borderId="0" xfId="3" applyNumberFormat="1" applyFont="1" applyFill="1" applyBorder="1" applyAlignment="1">
      <alignment wrapText="1"/>
    </xf>
    <xf numFmtId="0" fontId="2" fillId="0" borderId="2" xfId="0" applyFont="1" applyBorder="1"/>
    <xf numFmtId="0" fontId="0" fillId="0" borderId="3" xfId="0" applyBorder="1"/>
    <xf numFmtId="0" fontId="0" fillId="0" borderId="5" xfId="0" applyBorder="1"/>
    <xf numFmtId="0" fontId="3" fillId="2" borderId="4" xfId="2" applyFill="1" applyBorder="1" applyAlignment="1">
      <alignment horizontal="right"/>
    </xf>
    <xf numFmtId="0" fontId="0" fillId="2" borderId="6" xfId="0" applyFill="1" applyBorder="1" applyAlignment="1">
      <alignment horizontal="right"/>
    </xf>
    <xf numFmtId="0" fontId="0" fillId="4" borderId="7" xfId="0" applyFill="1" applyBorder="1"/>
    <xf numFmtId="0" fontId="3" fillId="0" borderId="0" xfId="2"/>
    <xf numFmtId="0" fontId="13" fillId="0" borderId="0" xfId="0" applyFont="1"/>
    <xf numFmtId="14" fontId="6" fillId="3" borderId="0" xfId="0" applyNumberFormat="1" applyFont="1" applyFill="1"/>
    <xf numFmtId="0" fontId="0" fillId="3" borderId="0" xfId="0" applyFill="1"/>
    <xf numFmtId="9" fontId="0" fillId="0" borderId="0" xfId="1" applyFont="1" applyFill="1" applyBorder="1"/>
    <xf numFmtId="0" fontId="4" fillId="0" borderId="0" xfId="0" applyFont="1" applyAlignment="1">
      <alignment horizontal="center"/>
    </xf>
    <xf numFmtId="0" fontId="13" fillId="5" borderId="0" xfId="0" applyFont="1" applyFill="1"/>
  </cellXfs>
  <cellStyles count="4">
    <cellStyle name="Komma" xfId="3" builtinId="3"/>
    <cellStyle name="Link" xfId="2" builtinId="8"/>
    <cellStyle name="Prozent" xfId="1" builtinId="5"/>
    <cellStyle name="Standard" xfId="0" builtinId="0"/>
  </cellStyles>
  <dxfs count="37">
    <dxf>
      <numFmt numFmtId="165" formatCode="_-* #,##0\ _€_-;\-* #,##0\ _€_-;_-* &quot;-&quot;??\ _€_-;_-@_-"/>
    </dxf>
    <dxf>
      <numFmt numFmtId="165" formatCode="_-* #,##0\ _€_-;\-* #,##0\ _€_-;_-* &quot;-&quot;??\ _€_-;_-@_-"/>
    </dxf>
    <dxf>
      <numFmt numFmtId="13" formatCode="0%"/>
    </dxf>
    <dxf>
      <numFmt numFmtId="165" formatCode="_-* #,##0\ _€_-;\-* #,##0\ _€_-;_-* &quot;-&quot;??\ _€_-;_-@_-"/>
    </dxf>
    <dxf>
      <numFmt numFmtId="165" formatCode="_-* #,##0\ _€_-;\-* #,##0\ _€_-;_-* &quot;-&quot;??\ _€_-;_-@_-"/>
    </dxf>
    <dxf>
      <numFmt numFmtId="165" formatCode="_-* #,##0\ _€_-;\-* #,##0\ _€_-;_-* &quot;-&quot;??\ _€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_-* #,##0\ _€_-;\-* #,##0\ _€_-;_-* &quot;-&quot;??\ _€_-;_-@_-"/>
    </dxf>
    <dxf>
      <font>
        <color rgb="FFFF0000"/>
      </font>
    </dxf>
    <dxf>
      <font>
        <color rgb="FFFF0000"/>
      </font>
    </dxf>
    <dxf>
      <fill>
        <gradientFill degree="90">
          <stop position="0">
            <color theme="0"/>
          </stop>
          <stop position="1">
            <color theme="4" tint="0.59999389629810485"/>
          </stop>
        </gradientFill>
      </fill>
    </dxf>
    <dxf>
      <fill>
        <gradientFill degree="90">
          <stop position="0">
            <color theme="0"/>
          </stop>
          <stop position="0.5">
            <color theme="4"/>
          </stop>
          <stop position="1">
            <color theme="0"/>
          </stop>
        </gradientFill>
      </fill>
    </dxf>
    <dxf>
      <fill>
        <gradientFill degree="270">
          <stop position="0">
            <color theme="0"/>
          </stop>
          <stop position="1">
            <color rgb="FFFFFF00"/>
          </stop>
        </gradientFill>
      </fill>
    </dxf>
    <dxf>
      <fill>
        <gradientFill degree="90">
          <stop position="0">
            <color rgb="FFFFFF00"/>
          </stop>
          <stop position="1">
            <color rgb="FFFF0000"/>
          </stop>
        </gradient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* #,##0\ _€_-;\-* #,##0\ _€_-;_-* &quot;-&quot;??\ _€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* #,##0\ _€_-;\-* #,##0\ _€_-;_-* &quot;-&quot;??\ _€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* #,##0\ _€_-;\-* #,##0\ _€_-;_-* &quot;-&quot;??\ _€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* #,##0\ _€_-;\-* #,##0\ _€_-;_-* &quot;-&quot;??\ _€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* #,##0\ _€_-;\-* #,##0\ _€_-;_-* &quot;-&quot;??\ _€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* #,##0\ _€_-;\-* #,##0\ _€_-;_-* &quot;-&quot;??\ _€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* #,##0\ _€_-;\-* #,##0\ _€_-;_-* &quot;-&quot;??\ _€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* #,##0\ _€_-;\-* #,##0\ _€_-;_-* &quot;-&quot;??\ _€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numFmt numFmtId="165" formatCode="_-* #,##0\ _€_-;\-* #,##0\ _€_-;_-* &quot;-&quot;??\ _€_-;_-@_-"/>
      <fill>
        <patternFill patternType="none">
          <fgColor indexed="64"/>
          <bgColor auto="1"/>
        </patternFill>
      </fill>
    </dxf>
    <dxf>
      <font>
        <b/>
        <strike val="0"/>
        <outline val="0"/>
        <shadow val="0"/>
        <u val="none"/>
        <vertAlign val="baseline"/>
        <sz val="11"/>
        <color rgb="FF01AF37"/>
        <name val="Calibri"/>
        <scheme val="minor"/>
      </font>
      <numFmt numFmtId="165" formatCode="_-* #,##0\ _€_-;\-* #,##0\ _€_-;_-* &quot;-&quot;??\ _€_-;_-@_-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165" formatCode="_-* #,##0\ _€_-;\-* #,##0\ _€_-;_-* &quot;-&quot;??\ _€_-;_-@_-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border outline="0">
        <top style="thin">
          <color theme="7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rgb="FF0066FF"/>
        </patternFill>
      </fill>
      <alignment horizontal="general" vertical="bottom" textRotation="0" wrapText="1" indent="0" justifyLastLine="0" shrinkToFit="0" readingOrder="0"/>
      <border diagonalUp="0" diagonalDown="0" outline="0">
        <left style="thin">
          <color theme="7"/>
        </left>
        <right style="thin">
          <color theme="7"/>
        </right>
        <top/>
        <bottom/>
      </border>
    </dxf>
    <dxf>
      <font>
        <b val="0"/>
        <i val="0"/>
        <color auto="1"/>
      </font>
      <fill>
        <patternFill>
          <bgColor theme="0" tint="-0.14996795556505021"/>
        </patternFill>
      </fill>
    </dxf>
    <dxf>
      <border>
        <left style="medium">
          <color auto="1"/>
        </left>
        <right style="medium">
          <color auto="1"/>
        </right>
        <top style="double">
          <color auto="1"/>
        </top>
        <bottom style="medium">
          <color auto="1"/>
        </bottom>
      </border>
    </dxf>
    <dxf>
      <font>
        <b/>
        <i val="0"/>
        <color rgb="FF2800D0"/>
      </font>
      <fill>
        <patternFill>
          <bgColor theme="7" tint="0.59996337778862885"/>
        </patternFill>
      </fill>
      <border>
        <bottom style="medium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vertical style="thin">
          <color auto="1"/>
        </vertical>
        <horizontal style="thin">
          <color auto="1"/>
        </horizontal>
      </border>
    </dxf>
  </dxfs>
  <tableStyles count="1" defaultTableStyle="TableStyleMedium2" defaultPivotStyle="PivotStyleMedium9">
    <tableStyle name="Tabellenformat 1" pivot="0" count="4" xr9:uid="{00000000-0011-0000-FFFF-FFFF00000000}">
      <tableStyleElement type="wholeTable" dxfId="36"/>
      <tableStyleElement type="headerRow" dxfId="35"/>
      <tableStyleElement type="totalRow" dxfId="34"/>
      <tableStyleElement type="firstRowStripe" dxfId="33"/>
    </tableStyle>
  </tableStyles>
  <colors>
    <mruColors>
      <color rgb="FF01AF37"/>
      <color rgb="FF0066FF"/>
      <color rgb="FF2AFE6C"/>
      <color rgb="FF2800D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19050</xdr:colOff>
          <xdr:row>2</xdr:row>
          <xdr:rowOff>0</xdr:rowOff>
        </xdr:from>
        <xdr:to>
          <xdr:col>27</xdr:col>
          <xdr:colOff>123825</xdr:colOff>
          <xdr:row>6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Clanliste updaten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28575</xdr:colOff>
          <xdr:row>7</xdr:row>
          <xdr:rowOff>0</xdr:rowOff>
        </xdr:from>
        <xdr:to>
          <xdr:col>27</xdr:col>
          <xdr:colOff>142875</xdr:colOff>
          <xdr:row>10</xdr:row>
          <xdr:rowOff>123825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Clanliste leeren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28575</xdr:colOff>
          <xdr:row>12</xdr:row>
          <xdr:rowOff>66675</xdr:rowOff>
        </xdr:from>
        <xdr:to>
          <xdr:col>27</xdr:col>
          <xdr:colOff>142875</xdr:colOff>
          <xdr:row>17</xdr:row>
          <xdr:rowOff>85725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Sortieren nach: </a:t>
              </a:r>
              <a:endParaRPr lang="de-DE" sz="1100" b="0" i="0" u="none" strike="noStrike" baseline="0">
                <a:solidFill>
                  <a:srgbClr val="FF0000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1) Spendenverhältnis ↓</a:t>
              </a:r>
            </a:p>
            <a:p>
              <a:pPr algn="ctr" rtl="0">
                <a:defRPr sz="1000"/>
              </a:pPr>
              <a:endParaRPr lang="de-DE" sz="1100" b="0" i="0" u="none" strike="noStrike" baseline="0">
                <a:solidFill>
                  <a:srgbClr val="FF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38100</xdr:colOff>
          <xdr:row>31</xdr:row>
          <xdr:rowOff>28575</xdr:rowOff>
        </xdr:from>
        <xdr:to>
          <xdr:col>27</xdr:col>
          <xdr:colOff>152400</xdr:colOff>
          <xdr:row>36</xdr:row>
          <xdr:rowOff>47625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Sortieren nach: </a:t>
              </a:r>
              <a:endParaRPr lang="de-DE" sz="1100" b="0" i="0" u="none" strike="noStrike" baseline="0">
                <a:solidFill>
                  <a:srgbClr val="FF0000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1) Trophäen ↓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38100</xdr:colOff>
          <xdr:row>37</xdr:row>
          <xdr:rowOff>76200</xdr:rowOff>
        </xdr:from>
        <xdr:to>
          <xdr:col>27</xdr:col>
          <xdr:colOff>152400</xdr:colOff>
          <xdr:row>42</xdr:row>
          <xdr:rowOff>0</xdr:rowOff>
        </xdr:to>
        <xdr:sp macro="" textlink="">
          <xdr:nvSpPr>
            <xdr:cNvPr id="1050" name="Button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PDF Export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28575</xdr:colOff>
          <xdr:row>18</xdr:row>
          <xdr:rowOff>95250</xdr:rowOff>
        </xdr:from>
        <xdr:to>
          <xdr:col>27</xdr:col>
          <xdr:colOff>142875</xdr:colOff>
          <xdr:row>23</xdr:row>
          <xdr:rowOff>114300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Sortieren nach: </a:t>
              </a:r>
              <a:endParaRPr lang="de-DE" sz="1100" b="0" i="0" u="none" strike="noStrike" baseline="0">
                <a:solidFill>
                  <a:srgbClr val="FF0000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1) Gespendet ↓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38100</xdr:colOff>
          <xdr:row>24</xdr:row>
          <xdr:rowOff>104775</xdr:rowOff>
        </xdr:from>
        <xdr:to>
          <xdr:col>27</xdr:col>
          <xdr:colOff>152400</xdr:colOff>
          <xdr:row>29</xdr:row>
          <xdr:rowOff>123825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Sortieren nach: </a:t>
              </a:r>
              <a:endParaRPr lang="de-DE" sz="1100" b="0" i="0" u="none" strike="noStrike" baseline="0">
                <a:solidFill>
                  <a:srgbClr val="FF0000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1) Spenden erhalten ↓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304800</xdr:colOff>
          <xdr:row>12</xdr:row>
          <xdr:rowOff>66675</xdr:rowOff>
        </xdr:from>
        <xdr:to>
          <xdr:col>30</xdr:col>
          <xdr:colOff>342900</xdr:colOff>
          <xdr:row>17</xdr:row>
          <xdr:rowOff>85725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Sortieren nach: </a:t>
              </a:r>
              <a:endParaRPr lang="de-DE" sz="1100" b="0" i="0" u="none" strike="noStrike" baseline="0">
                <a:solidFill>
                  <a:srgbClr val="FF0000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1) Spendenbudget↓</a:t>
              </a:r>
            </a:p>
            <a:p>
              <a:pPr algn="ctr" rtl="0">
                <a:defRPr sz="1000"/>
              </a:pPr>
              <a:endParaRPr lang="de-DE" sz="1100" b="0" i="0" u="none" strike="noStrike" baseline="0">
                <a:solidFill>
                  <a:srgbClr val="FF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elle2" displayName="Tabelle2" ref="A2:R53" totalsRowCount="1" headerRowDxfId="32" tableBorderDxfId="31">
  <autoFilter ref="A2:R52" xr:uid="{00000000-0009-0000-0100-000002000000}"/>
  <sortState xmlns:xlrd2="http://schemas.microsoft.com/office/spreadsheetml/2017/richdata2" ref="A3:N52">
    <sortCondition descending="1" ref="D2:D52"/>
  </sortState>
  <tableColumns count="18">
    <tableColumn id="1" xr3:uid="{00000000-0010-0000-0000-000001000000}" name="Name" dataDxfId="30" totalsRowDxfId="6"/>
    <tableColumn id="2" xr3:uid="{00000000-0010-0000-0000-000002000000}" name="Rolle" dataDxfId="29"/>
    <tableColumn id="3" xr3:uid="{00000000-0010-0000-0000-000003000000}" name="EP_x000a_Punkte" dataDxfId="28"/>
    <tableColumn id="4" xr3:uid="{00000000-0010-0000-0000-000004000000}" name="Trophäen" dataDxfId="27" totalsRowDxfId="5" dataCellStyle="Komma"/>
    <tableColumn id="5" xr3:uid="{00000000-0010-0000-0000-000005000000}" name="Clan Rang Neu" dataDxfId="26"/>
    <tableColumn id="6" xr3:uid="{00000000-0010-0000-0000-000006000000}" name="Clan Rang Bisher" dataDxfId="25"/>
    <tableColumn id="7" xr3:uid="{00000000-0010-0000-0000-000007000000}" name="Gespendet" dataDxfId="24" totalsRowDxfId="4" dataCellStyle="Komma"/>
    <tableColumn id="8" xr3:uid="{00000000-0010-0000-0000-000008000000}" name="Spenden erhalten" dataDxfId="23" totalsRowDxfId="3" dataCellStyle="Komma"/>
    <tableColumn id="9" xr3:uid="{00000000-0010-0000-0000-000009000000}" name="Spendenverhältnis" dataDxfId="22" totalsRowDxfId="2" dataCellStyle="Prozent">
      <calculatedColumnFormula>IF(AND(Tabelle2[[#This Row],[Gespendet]]=0,Tabelle2[[#This Row],[Spenden erhalten]]=0),0,IF(AND(Tabelle2[[#This Row],[Gespendet]]&gt;0,Tabelle2[[#This Row],[Spenden erhalten]]=0),3,Tabelle2[[#This Row],[Gespendet]]/Tabelle2[[#This Row],[Spenden erhalten]]))</calculatedColumnFormula>
    </tableColumn>
    <tableColumn id="10" xr3:uid="{00000000-0010-0000-0000-00000A000000}" name="Spendenbudget" dataDxfId="21" totalsRowDxfId="1" dataCellStyle="Komma">
      <calculatedColumnFormula>IF(Tabelle2[[#This Row],[Gespendet]]*3-Tabelle2[[#This Row],[Spenden erhalten]]&gt;0,Tabelle2[[#This Row],[Gespendet]]*3-Tabelle2[[#This Row],[Spenden erhalten]],((Tabelle2[[#This Row],[Spenden erhalten]]/3)-Tabelle2[[#This Row],[Gespendet]])*(-1))</calculatedColumnFormula>
    </tableColumn>
    <tableColumn id="18" xr3:uid="{EBA412CD-8151-4547-A99C-B1485BCE5340}" name="CKL Nr" dataDxfId="7" totalsRowDxfId="0" dataCellStyle="Komma"/>
    <tableColumn id="11" xr3:uid="{00000000-0010-0000-0000-00000B000000}" name="CK 1 Angriff" dataDxfId="20" dataCellStyle="Komma"/>
    <tableColumn id="12" xr3:uid="{00000000-0010-0000-0000-00000C000000}" name="CK2 Angriff" dataDxfId="19" dataCellStyle="Komma"/>
    <tableColumn id="16" xr3:uid="{00000000-0010-0000-0000-000010000000}" name="CK3 Angriff" dataDxfId="18" dataCellStyle="Komma"/>
    <tableColumn id="15" xr3:uid="{00000000-0010-0000-0000-00000F000000}" name="CK4 Angriff" dataDxfId="17" dataCellStyle="Komma"/>
    <tableColumn id="14" xr3:uid="{00000000-0010-0000-0000-00000E000000}" name="CK5 Angriff" dataDxfId="16" dataCellStyle="Komma"/>
    <tableColumn id="17" xr3:uid="{00000000-0010-0000-0000-000011000000}" name="CK6 Angriff" dataDxfId="15" dataCellStyle="Komma"/>
    <tableColumn id="13" xr3:uid="{00000000-0010-0000-0000-00000D000000}" name="CK7 Angriff" dataDxfId="14" dataCellStyle="Komma"/>
  </tableColumns>
  <tableStyleInfo name="Tabellenformat 1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.xml"/><Relationship Id="rId13" Type="http://schemas.openxmlformats.org/officeDocument/2006/relationships/ctrlProp" Target="../ctrlProps/ctrlProp7.xml"/><Relationship Id="rId3" Type="http://schemas.openxmlformats.org/officeDocument/2006/relationships/hyperlink" Target="https://api.clashofclans.com/v1/clans/VQPVPJ09/warlog" TargetMode="External"/><Relationship Id="rId7" Type="http://schemas.openxmlformats.org/officeDocument/2006/relationships/ctrlProp" Target="../ctrlProps/ctrlProp1.xml"/><Relationship Id="rId12" Type="http://schemas.openxmlformats.org/officeDocument/2006/relationships/ctrlProp" Target="../ctrlProps/ctrlProp6.xml"/><Relationship Id="rId2" Type="http://schemas.openxmlformats.org/officeDocument/2006/relationships/hyperlink" Target="https://clashofclans.com/clans/search/" TargetMode="External"/><Relationship Id="rId16" Type="http://schemas.openxmlformats.org/officeDocument/2006/relationships/comments" Target="../comments1.xml"/><Relationship Id="rId1" Type="http://schemas.openxmlformats.org/officeDocument/2006/relationships/hyperlink" Target="https://set7z18fgf.execute-api.us-east-1.amazonaws.com/prod/?route=getClanDetails&amp;clanTag=%23VQPVPJ09" TargetMode="External"/><Relationship Id="rId6" Type="http://schemas.openxmlformats.org/officeDocument/2006/relationships/vmlDrawing" Target="../drawings/vmlDrawing1.vml"/><Relationship Id="rId11" Type="http://schemas.openxmlformats.org/officeDocument/2006/relationships/ctrlProp" Target="../ctrlProps/ctrlProp5.xml"/><Relationship Id="rId5" Type="http://schemas.openxmlformats.org/officeDocument/2006/relationships/drawing" Target="../drawings/drawing1.xml"/><Relationship Id="rId15" Type="http://schemas.openxmlformats.org/officeDocument/2006/relationships/table" Target="../tables/table1.xml"/><Relationship Id="rId10" Type="http://schemas.openxmlformats.org/officeDocument/2006/relationships/ctrlProp" Target="../ctrlProps/ctrlProp4.xml"/><Relationship Id="rId4" Type="http://schemas.openxmlformats.org/officeDocument/2006/relationships/printerSettings" Target="../printerSettings/printerSettings1.bin"/><Relationship Id="rId9" Type="http://schemas.openxmlformats.org/officeDocument/2006/relationships/ctrlProp" Target="../ctrlProps/ctrlProp3.xml"/><Relationship Id="rId14" Type="http://schemas.openxmlformats.org/officeDocument/2006/relationships/ctrlProp" Target="../ctrlProps/ctrlProp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Clan">
    <pageSetUpPr fitToPage="1"/>
  </sheetPr>
  <dimension ref="A1:AE53"/>
  <sheetViews>
    <sheetView showGridLines="0" tabSelected="1" topLeftCell="A7" zoomScale="85" zoomScaleNormal="85" workbookViewId="0">
      <selection activeCell="A45" sqref="A45"/>
    </sheetView>
  </sheetViews>
  <sheetFormatPr baseColWidth="10" defaultColWidth="9.140625" defaultRowHeight="15" x14ac:dyDescent="0.25"/>
  <cols>
    <col min="1" max="1" width="20.85546875" style="24" customWidth="1"/>
    <col min="2" max="2" width="9" bestFit="1" customWidth="1"/>
    <col min="3" max="3" width="8" bestFit="1" customWidth="1"/>
    <col min="4" max="4" width="11" style="6" bestFit="1" customWidth="1"/>
    <col min="5" max="5" width="10.85546875" customWidth="1"/>
    <col min="6" max="6" width="11.85546875" bestFit="1" customWidth="1"/>
    <col min="7" max="7" width="16.28515625" style="6" customWidth="1"/>
    <col min="8" max="8" width="14.5703125" style="6" customWidth="1"/>
    <col min="9" max="9" width="20.140625" style="1" bestFit="1" customWidth="1"/>
    <col min="10" max="10" width="20.140625" style="6" customWidth="1"/>
    <col min="11" max="11" width="10.28515625" style="6" bestFit="1" customWidth="1"/>
    <col min="12" max="12" width="14" style="6" bestFit="1" customWidth="1"/>
    <col min="13" max="18" width="13.5703125" style="6" bestFit="1" customWidth="1"/>
    <col min="19" max="22" width="7" style="7" customWidth="1"/>
    <col min="23" max="23" width="6.85546875" style="7" customWidth="1"/>
    <col min="29" max="29" width="17.140625" bestFit="1" customWidth="1"/>
    <col min="30" max="30" width="11" bestFit="1" customWidth="1"/>
    <col min="31" max="31" width="12.5703125" bestFit="1" customWidth="1"/>
  </cols>
  <sheetData>
    <row r="1" spans="1:31" ht="36" x14ac:dyDescent="0.55000000000000004">
      <c r="A1" s="28" t="s">
        <v>6</v>
      </c>
      <c r="B1" s="28"/>
      <c r="C1" s="28"/>
      <c r="D1" s="28"/>
      <c r="E1" s="28"/>
      <c r="F1" s="28"/>
      <c r="G1" s="28"/>
      <c r="H1" s="28"/>
      <c r="I1" s="28"/>
      <c r="J1" s="11">
        <f ca="1">TODAY()</f>
        <v>44928</v>
      </c>
      <c r="K1" s="11"/>
      <c r="L1" s="11"/>
      <c r="M1" s="11"/>
      <c r="N1" s="11"/>
      <c r="O1" s="11"/>
      <c r="P1" s="11"/>
      <c r="Q1" s="11"/>
      <c r="R1" s="11"/>
      <c r="S1" s="11"/>
      <c r="T1" s="25" t="s">
        <v>41</v>
      </c>
      <c r="U1" s="25"/>
      <c r="V1" s="25"/>
      <c r="W1" s="25"/>
      <c r="X1" s="26"/>
      <c r="Y1" s="26"/>
      <c r="AC1" s="10"/>
    </row>
    <row r="2" spans="1:31" s="2" customFormat="1" ht="30.75" thickBot="1" x14ac:dyDescent="0.3">
      <c r="A2" s="12" t="s">
        <v>0</v>
      </c>
      <c r="B2" s="12" t="s">
        <v>12</v>
      </c>
      <c r="C2" s="12" t="s">
        <v>9</v>
      </c>
      <c r="D2" s="13" t="s">
        <v>7</v>
      </c>
      <c r="E2" s="12" t="s">
        <v>10</v>
      </c>
      <c r="F2" s="12" t="s">
        <v>11</v>
      </c>
      <c r="G2" s="13" t="s">
        <v>8</v>
      </c>
      <c r="H2" s="13" t="s">
        <v>2</v>
      </c>
      <c r="I2" s="14" t="s">
        <v>1</v>
      </c>
      <c r="J2" s="15" t="s">
        <v>13</v>
      </c>
      <c r="K2" s="15" t="s">
        <v>79</v>
      </c>
      <c r="L2" s="15" t="s">
        <v>28</v>
      </c>
      <c r="M2" s="15" t="s">
        <v>29</v>
      </c>
      <c r="N2" s="15" t="s">
        <v>30</v>
      </c>
      <c r="O2" s="15" t="s">
        <v>32</v>
      </c>
      <c r="P2" s="15" t="s">
        <v>33</v>
      </c>
      <c r="Q2" s="15" t="s">
        <v>34</v>
      </c>
      <c r="R2" s="15" t="s">
        <v>35</v>
      </c>
      <c r="S2" s="16"/>
      <c r="T2" s="16"/>
      <c r="U2" s="16"/>
      <c r="V2" s="16"/>
      <c r="W2" s="16"/>
    </row>
    <row r="3" spans="1:31" x14ac:dyDescent="0.25">
      <c r="A3" s="29" t="s">
        <v>26</v>
      </c>
      <c r="B3" t="s">
        <v>18</v>
      </c>
      <c r="C3">
        <v>227</v>
      </c>
      <c r="D3" s="7">
        <v>5134</v>
      </c>
      <c r="E3">
        <v>1</v>
      </c>
      <c r="F3">
        <v>2</v>
      </c>
      <c r="G3" s="8">
        <v>2901</v>
      </c>
      <c r="H3" s="5">
        <v>3261</v>
      </c>
      <c r="I3" s="27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0.88960441582336702</v>
      </c>
      <c r="J3" s="4">
        <f>IF(Tabelle2[[#This Row],[Gespendet]]*3-Tabelle2[[#This Row],[Spenden erhalten]]&gt;0,Tabelle2[[#This Row],[Gespendet]]*3-Tabelle2[[#This Row],[Spenden erhalten]],((Tabelle2[[#This Row],[Spenden erhalten]]/3)-Tabelle2[[#This Row],[Gespendet]])*(-1))</f>
        <v>5442</v>
      </c>
      <c r="K3" s="4">
        <v>4</v>
      </c>
      <c r="L3" s="4"/>
      <c r="M3" s="4"/>
      <c r="N3" s="4"/>
      <c r="O3" s="4"/>
      <c r="P3" s="4"/>
      <c r="Q3" s="4"/>
      <c r="R3" s="4"/>
      <c r="S3" s="5"/>
      <c r="T3" s="5"/>
      <c r="U3" s="5"/>
      <c r="V3" s="5"/>
      <c r="W3" s="5"/>
      <c r="AC3" s="17" t="s">
        <v>5</v>
      </c>
      <c r="AD3" s="18"/>
      <c r="AE3" s="2"/>
    </row>
    <row r="4" spans="1:31" x14ac:dyDescent="0.25">
      <c r="A4" s="29" t="s">
        <v>19</v>
      </c>
      <c r="B4" t="s">
        <v>18</v>
      </c>
      <c r="C4">
        <v>236</v>
      </c>
      <c r="D4" s="7">
        <v>5126</v>
      </c>
      <c r="E4">
        <v>2</v>
      </c>
      <c r="F4">
        <v>1</v>
      </c>
      <c r="G4" s="8">
        <v>2290</v>
      </c>
      <c r="H4" s="5">
        <v>2105</v>
      </c>
      <c r="I4" s="27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1.0878859857482186</v>
      </c>
      <c r="J4" s="4">
        <f>IF(Tabelle2[[#This Row],[Gespendet]]*3-Tabelle2[[#This Row],[Spenden erhalten]]&gt;0,Tabelle2[[#This Row],[Gespendet]]*3-Tabelle2[[#This Row],[Spenden erhalten]],((Tabelle2[[#This Row],[Spenden erhalten]]/3)-Tabelle2[[#This Row],[Gespendet]])*(-1))</f>
        <v>4765</v>
      </c>
      <c r="K4" s="4">
        <v>3</v>
      </c>
      <c r="L4" s="4"/>
      <c r="M4" s="4"/>
      <c r="N4" s="4"/>
      <c r="O4" s="4"/>
      <c r="P4" s="4"/>
      <c r="Q4" s="4"/>
      <c r="R4" s="4"/>
      <c r="S4" s="5"/>
      <c r="T4" s="5"/>
      <c r="U4" s="5"/>
      <c r="V4" s="5"/>
      <c r="W4" s="5"/>
      <c r="AC4" s="20" t="s">
        <v>3</v>
      </c>
      <c r="AD4" s="19"/>
      <c r="AE4" s="2"/>
    </row>
    <row r="5" spans="1:31" x14ac:dyDescent="0.25">
      <c r="A5" s="29" t="s">
        <v>43</v>
      </c>
      <c r="B5" t="s">
        <v>18</v>
      </c>
      <c r="C5">
        <v>237</v>
      </c>
      <c r="D5" s="7">
        <v>5008</v>
      </c>
      <c r="E5">
        <v>3</v>
      </c>
      <c r="F5">
        <v>3</v>
      </c>
      <c r="G5" s="8">
        <v>210</v>
      </c>
      <c r="H5" s="5">
        <v>0</v>
      </c>
      <c r="I5" s="27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3</v>
      </c>
      <c r="J5" s="4">
        <f>IF(Tabelle2[[#This Row],[Gespendet]]*3-Tabelle2[[#This Row],[Spenden erhalten]]&gt;0,Tabelle2[[#This Row],[Gespendet]]*3-Tabelle2[[#This Row],[Spenden erhalten]],((Tabelle2[[#This Row],[Spenden erhalten]]/3)-Tabelle2[[#This Row],[Gespendet]])*(-1))</f>
        <v>630</v>
      </c>
      <c r="K5" s="4">
        <v>2</v>
      </c>
      <c r="L5" s="4"/>
      <c r="M5" s="4"/>
      <c r="N5" s="4"/>
      <c r="O5" s="4"/>
      <c r="P5" s="4"/>
      <c r="Q5" s="4"/>
      <c r="R5" s="4"/>
      <c r="S5" s="5"/>
      <c r="T5" s="5"/>
      <c r="U5" s="5"/>
      <c r="V5" s="5"/>
      <c r="W5" s="5"/>
      <c r="AC5" s="20" t="s">
        <v>4</v>
      </c>
      <c r="AD5" s="19"/>
    </row>
    <row r="6" spans="1:31" ht="15.75" thickBot="1" x14ac:dyDescent="0.3">
      <c r="A6" s="29" t="s">
        <v>27</v>
      </c>
      <c r="B6" t="s">
        <v>15</v>
      </c>
      <c r="C6">
        <v>199</v>
      </c>
      <c r="D6" s="7">
        <v>4952</v>
      </c>
      <c r="E6">
        <v>4</v>
      </c>
      <c r="F6">
        <v>4</v>
      </c>
      <c r="G6" s="8">
        <v>1106</v>
      </c>
      <c r="H6" s="5">
        <v>1618</v>
      </c>
      <c r="I6" s="27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0.6835599505562423</v>
      </c>
      <c r="J6" s="4">
        <f>IF(Tabelle2[[#This Row],[Gespendet]]*3-Tabelle2[[#This Row],[Spenden erhalten]]&gt;0,Tabelle2[[#This Row],[Gespendet]]*3-Tabelle2[[#This Row],[Spenden erhalten]],((Tabelle2[[#This Row],[Spenden erhalten]]/3)-Tabelle2[[#This Row],[Gespendet]])*(-1))</f>
        <v>1700</v>
      </c>
      <c r="K6" s="4">
        <v>8</v>
      </c>
      <c r="L6" s="4"/>
      <c r="M6" s="4"/>
      <c r="N6" s="4"/>
      <c r="O6" s="4"/>
      <c r="P6" s="4"/>
      <c r="Q6" s="4"/>
      <c r="R6" s="4"/>
      <c r="S6" s="5"/>
      <c r="T6" s="5"/>
      <c r="U6" s="5"/>
      <c r="V6" s="5"/>
      <c r="W6" s="5"/>
      <c r="AC6" s="21" t="s">
        <v>14</v>
      </c>
      <c r="AD6" s="22" t="s">
        <v>25</v>
      </c>
    </row>
    <row r="7" spans="1:31" x14ac:dyDescent="0.25">
      <c r="A7" s="29" t="s">
        <v>47</v>
      </c>
      <c r="B7" t="s">
        <v>18</v>
      </c>
      <c r="C7">
        <v>225</v>
      </c>
      <c r="D7" s="7">
        <v>4927</v>
      </c>
      <c r="E7">
        <v>5</v>
      </c>
      <c r="F7">
        <v>5</v>
      </c>
      <c r="G7" s="8">
        <v>2158</v>
      </c>
      <c r="H7" s="5">
        <v>1307</v>
      </c>
      <c r="I7" s="27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1.6511094108645754</v>
      </c>
      <c r="J7" s="4">
        <f>IF(Tabelle2[[#This Row],[Gespendet]]*3-Tabelle2[[#This Row],[Spenden erhalten]]&gt;0,Tabelle2[[#This Row],[Gespendet]]*3-Tabelle2[[#This Row],[Spenden erhalten]],((Tabelle2[[#This Row],[Spenden erhalten]]/3)-Tabelle2[[#This Row],[Gespendet]])*(-1))</f>
        <v>5167</v>
      </c>
      <c r="K7" s="4">
        <v>1</v>
      </c>
      <c r="L7" s="4"/>
      <c r="M7" s="4"/>
      <c r="N7" s="4"/>
      <c r="O7" s="4"/>
      <c r="P7" s="4"/>
      <c r="Q7" s="4"/>
      <c r="R7" s="4"/>
      <c r="S7" s="5"/>
      <c r="T7" s="5"/>
      <c r="U7" s="5"/>
      <c r="V7" s="5"/>
      <c r="W7" s="5"/>
    </row>
    <row r="8" spans="1:31" x14ac:dyDescent="0.25">
      <c r="A8" s="29" t="s">
        <v>21</v>
      </c>
      <c r="B8" t="s">
        <v>17</v>
      </c>
      <c r="C8">
        <v>221</v>
      </c>
      <c r="D8" s="5">
        <v>4380</v>
      </c>
      <c r="E8">
        <v>6</v>
      </c>
      <c r="F8">
        <v>6</v>
      </c>
      <c r="G8" s="8">
        <v>1175</v>
      </c>
      <c r="H8" s="5">
        <v>544</v>
      </c>
      <c r="I8" s="27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2.1599264705882355</v>
      </c>
      <c r="J8" s="4">
        <f>IF(Tabelle2[[#This Row],[Gespendet]]*3-Tabelle2[[#This Row],[Spenden erhalten]]&gt;0,Tabelle2[[#This Row],[Gespendet]]*3-Tabelle2[[#This Row],[Spenden erhalten]],((Tabelle2[[#This Row],[Spenden erhalten]]/3)-Tabelle2[[#This Row],[Gespendet]])*(-1))</f>
        <v>2981</v>
      </c>
      <c r="K8" s="4">
        <v>6</v>
      </c>
      <c r="L8" s="4"/>
      <c r="M8" s="4"/>
      <c r="N8" s="4"/>
      <c r="O8" s="4"/>
      <c r="P8" s="4"/>
      <c r="Q8" s="4"/>
      <c r="R8" s="4"/>
      <c r="S8" s="5"/>
      <c r="T8" s="5"/>
      <c r="U8" s="5"/>
      <c r="V8" s="5"/>
      <c r="W8" s="5"/>
      <c r="AC8" t="s">
        <v>40</v>
      </c>
      <c r="AD8" s="23" t="s">
        <v>39</v>
      </c>
    </row>
    <row r="9" spans="1:31" x14ac:dyDescent="0.25">
      <c r="A9" s="29" t="s">
        <v>42</v>
      </c>
      <c r="B9" t="s">
        <v>18</v>
      </c>
      <c r="C9">
        <v>165</v>
      </c>
      <c r="D9" s="7">
        <v>4350</v>
      </c>
      <c r="E9">
        <v>7</v>
      </c>
      <c r="F9">
        <v>7</v>
      </c>
      <c r="G9" s="8">
        <v>247</v>
      </c>
      <c r="H9" s="5">
        <v>629</v>
      </c>
      <c r="I9" s="27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0.39268680445151033</v>
      </c>
      <c r="J9" s="4">
        <f>IF(Tabelle2[[#This Row],[Gespendet]]*3-Tabelle2[[#This Row],[Spenden erhalten]]&gt;0,Tabelle2[[#This Row],[Gespendet]]*3-Tabelle2[[#This Row],[Spenden erhalten]],((Tabelle2[[#This Row],[Spenden erhalten]]/3)-Tabelle2[[#This Row],[Gespendet]])*(-1))</f>
        <v>112</v>
      </c>
      <c r="K9" s="4"/>
      <c r="L9" s="4"/>
      <c r="M9" s="4"/>
      <c r="N9" s="4"/>
      <c r="O9" s="4"/>
      <c r="P9" s="4"/>
      <c r="Q9" s="4"/>
      <c r="R9" s="4"/>
      <c r="S9" s="5"/>
      <c r="T9" s="5"/>
      <c r="U9" s="5"/>
      <c r="V9" s="5"/>
      <c r="W9" s="5"/>
    </row>
    <row r="10" spans="1:31" x14ac:dyDescent="0.25">
      <c r="A10" s="29" t="s">
        <v>20</v>
      </c>
      <c r="B10" t="s">
        <v>18</v>
      </c>
      <c r="C10">
        <v>232</v>
      </c>
      <c r="D10" s="7">
        <v>4164</v>
      </c>
      <c r="E10">
        <v>8</v>
      </c>
      <c r="F10">
        <v>8</v>
      </c>
      <c r="G10" s="8">
        <v>603</v>
      </c>
      <c r="H10" s="5">
        <v>0</v>
      </c>
      <c r="I10" s="27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3</v>
      </c>
      <c r="J10" s="4">
        <f>IF(Tabelle2[[#This Row],[Gespendet]]*3-Tabelle2[[#This Row],[Spenden erhalten]]&gt;0,Tabelle2[[#This Row],[Gespendet]]*3-Tabelle2[[#This Row],[Spenden erhalten]],((Tabelle2[[#This Row],[Spenden erhalten]]/3)-Tabelle2[[#This Row],[Gespendet]])*(-1))</f>
        <v>1809</v>
      </c>
      <c r="K10" s="4">
        <v>5</v>
      </c>
      <c r="L10" s="4"/>
      <c r="M10" s="4"/>
      <c r="N10" s="4"/>
      <c r="O10" s="4"/>
      <c r="P10" s="4"/>
      <c r="Q10" s="4"/>
      <c r="R10" s="4"/>
      <c r="S10" s="5"/>
      <c r="T10" s="5"/>
      <c r="U10" s="5"/>
      <c r="V10" s="5"/>
      <c r="W10" s="5"/>
    </row>
    <row r="11" spans="1:31" x14ac:dyDescent="0.25">
      <c r="A11" s="29" t="s">
        <v>50</v>
      </c>
      <c r="B11" t="s">
        <v>16</v>
      </c>
      <c r="C11">
        <v>174</v>
      </c>
      <c r="D11" s="7">
        <v>4152</v>
      </c>
      <c r="E11">
        <v>9</v>
      </c>
      <c r="F11">
        <v>9</v>
      </c>
      <c r="G11" s="8">
        <v>0</v>
      </c>
      <c r="H11" s="5">
        <v>0</v>
      </c>
      <c r="I11" s="27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0</v>
      </c>
      <c r="J11" s="4">
        <f>IF(Tabelle2[[#This Row],[Gespendet]]*3-Tabelle2[[#This Row],[Spenden erhalten]]&gt;0,Tabelle2[[#This Row],[Gespendet]]*3-Tabelle2[[#This Row],[Spenden erhalten]],((Tabelle2[[#This Row],[Spenden erhalten]]/3)-Tabelle2[[#This Row],[Gespendet]])*(-1))</f>
        <v>0</v>
      </c>
      <c r="K11" s="4"/>
      <c r="L11" s="4"/>
      <c r="M11" s="4"/>
      <c r="N11" s="4"/>
      <c r="O11" s="4"/>
      <c r="P11" s="4"/>
      <c r="Q11" s="4"/>
      <c r="R11" s="4"/>
      <c r="S11" s="5"/>
      <c r="T11" s="5"/>
      <c r="U11" s="5"/>
      <c r="V11" s="5"/>
      <c r="W11" s="5"/>
    </row>
    <row r="12" spans="1:31" x14ac:dyDescent="0.25">
      <c r="A12" s="24" t="s">
        <v>51</v>
      </c>
      <c r="B12" t="s">
        <v>15</v>
      </c>
      <c r="C12">
        <v>217</v>
      </c>
      <c r="D12" s="5">
        <v>4072</v>
      </c>
      <c r="E12">
        <v>10</v>
      </c>
      <c r="F12">
        <v>10</v>
      </c>
      <c r="G12" s="8">
        <v>1372</v>
      </c>
      <c r="H12" s="5">
        <v>446</v>
      </c>
      <c r="I12" s="27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3.0762331838565022</v>
      </c>
      <c r="J12" s="4">
        <f>IF(Tabelle2[[#This Row],[Gespendet]]*3-Tabelle2[[#This Row],[Spenden erhalten]]&gt;0,Tabelle2[[#This Row],[Gespendet]]*3-Tabelle2[[#This Row],[Spenden erhalten]],((Tabelle2[[#This Row],[Spenden erhalten]]/3)-Tabelle2[[#This Row],[Gespendet]])*(-1))</f>
        <v>3670</v>
      </c>
      <c r="K12" s="4">
        <v>10</v>
      </c>
      <c r="L12" s="4"/>
      <c r="M12" s="4"/>
      <c r="N12" s="4"/>
      <c r="O12" s="4"/>
      <c r="P12" s="4"/>
      <c r="Q12" s="4"/>
      <c r="R12" s="4"/>
      <c r="S12" s="5"/>
      <c r="T12" s="5"/>
      <c r="U12" s="5"/>
      <c r="V12" s="5"/>
      <c r="W12" s="5"/>
    </row>
    <row r="13" spans="1:31" x14ac:dyDescent="0.25">
      <c r="A13" s="24" t="s">
        <v>23</v>
      </c>
      <c r="B13" t="s">
        <v>15</v>
      </c>
      <c r="C13">
        <v>206</v>
      </c>
      <c r="D13" s="7">
        <v>4045</v>
      </c>
      <c r="E13">
        <v>11</v>
      </c>
      <c r="F13">
        <v>12</v>
      </c>
      <c r="G13" s="8">
        <v>1885</v>
      </c>
      <c r="H13" s="5">
        <v>1329</v>
      </c>
      <c r="I13" s="27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1.418359668924003</v>
      </c>
      <c r="J13" s="4">
        <f>IF(Tabelle2[[#This Row],[Gespendet]]*3-Tabelle2[[#This Row],[Spenden erhalten]]&gt;0,Tabelle2[[#This Row],[Gespendet]]*3-Tabelle2[[#This Row],[Spenden erhalten]],((Tabelle2[[#This Row],[Spenden erhalten]]/3)-Tabelle2[[#This Row],[Gespendet]])*(-1))</f>
        <v>4326</v>
      </c>
      <c r="K13" s="4">
        <v>9</v>
      </c>
      <c r="L13" s="4"/>
      <c r="M13" s="4"/>
      <c r="N13" s="4"/>
      <c r="O13" s="4"/>
      <c r="P13" s="4"/>
      <c r="Q13" s="4"/>
      <c r="R13" s="4"/>
      <c r="S13" s="5"/>
      <c r="T13" s="5"/>
      <c r="U13" s="5"/>
      <c r="V13" s="5"/>
      <c r="W13" s="5"/>
    </row>
    <row r="14" spans="1:31" x14ac:dyDescent="0.25">
      <c r="A14" s="29" t="s">
        <v>52</v>
      </c>
      <c r="B14" t="s">
        <v>16</v>
      </c>
      <c r="C14">
        <v>171</v>
      </c>
      <c r="D14" s="7">
        <v>4013</v>
      </c>
      <c r="E14">
        <v>12</v>
      </c>
      <c r="F14">
        <v>11</v>
      </c>
      <c r="G14" s="8">
        <v>53</v>
      </c>
      <c r="H14" s="5">
        <v>141</v>
      </c>
      <c r="I14" s="27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0.37588652482269502</v>
      </c>
      <c r="J14" s="4">
        <f>IF(Tabelle2[[#This Row],[Gespendet]]*3-Tabelle2[[#This Row],[Spenden erhalten]]&gt;0,Tabelle2[[#This Row],[Gespendet]]*3-Tabelle2[[#This Row],[Spenden erhalten]],((Tabelle2[[#This Row],[Spenden erhalten]]/3)-Tabelle2[[#This Row],[Gespendet]])*(-1))</f>
        <v>18</v>
      </c>
      <c r="K14" s="4"/>
      <c r="L14" s="4"/>
      <c r="M14" s="4"/>
      <c r="N14" s="4"/>
      <c r="O14" s="4"/>
      <c r="P14" s="4"/>
      <c r="Q14" s="4"/>
      <c r="R14" s="4"/>
      <c r="S14" s="5"/>
      <c r="T14" s="5"/>
      <c r="U14" s="5"/>
      <c r="V14" s="5"/>
      <c r="W14" s="5"/>
    </row>
    <row r="15" spans="1:31" x14ac:dyDescent="0.25">
      <c r="A15" s="24" t="s">
        <v>38</v>
      </c>
      <c r="B15" t="s">
        <v>15</v>
      </c>
      <c r="C15">
        <v>168</v>
      </c>
      <c r="D15" s="5">
        <v>3748</v>
      </c>
      <c r="E15">
        <v>13</v>
      </c>
      <c r="F15">
        <v>13</v>
      </c>
      <c r="G15" s="8">
        <v>190</v>
      </c>
      <c r="H15" s="5">
        <v>77</v>
      </c>
      <c r="I15" s="27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2.4675324675324677</v>
      </c>
      <c r="J15" s="4">
        <f>IF(Tabelle2[[#This Row],[Gespendet]]*3-Tabelle2[[#This Row],[Spenden erhalten]]&gt;0,Tabelle2[[#This Row],[Gespendet]]*3-Tabelle2[[#This Row],[Spenden erhalten]],((Tabelle2[[#This Row],[Spenden erhalten]]/3)-Tabelle2[[#This Row],[Gespendet]])*(-1))</f>
        <v>493</v>
      </c>
      <c r="K15" s="4"/>
      <c r="L15" s="4"/>
      <c r="M15" s="4"/>
      <c r="N15" s="4"/>
      <c r="O15" s="4"/>
      <c r="P15" s="4"/>
      <c r="Q15" s="4"/>
      <c r="R15" s="4"/>
      <c r="S15" s="5"/>
      <c r="T15" s="5"/>
      <c r="U15" s="5"/>
      <c r="V15" s="5"/>
      <c r="W15" s="5"/>
    </row>
    <row r="16" spans="1:31" x14ac:dyDescent="0.25">
      <c r="A16" s="29" t="s">
        <v>22</v>
      </c>
      <c r="B16" t="s">
        <v>16</v>
      </c>
      <c r="C16">
        <v>174</v>
      </c>
      <c r="D16" s="7">
        <v>3729</v>
      </c>
      <c r="E16">
        <v>14</v>
      </c>
      <c r="F16">
        <v>14</v>
      </c>
      <c r="G16" s="8">
        <v>389</v>
      </c>
      <c r="H16" s="5">
        <v>77</v>
      </c>
      <c r="I16" s="27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5.0519480519480515</v>
      </c>
      <c r="J16" s="4">
        <f>IF(Tabelle2[[#This Row],[Gespendet]]*3-Tabelle2[[#This Row],[Spenden erhalten]]&gt;0,Tabelle2[[#This Row],[Gespendet]]*3-Tabelle2[[#This Row],[Spenden erhalten]],((Tabelle2[[#This Row],[Spenden erhalten]]/3)-Tabelle2[[#This Row],[Gespendet]])*(-1))</f>
        <v>1090</v>
      </c>
      <c r="K16" s="4"/>
      <c r="L16" s="4"/>
      <c r="M16" s="4"/>
      <c r="N16" s="4"/>
      <c r="O16" s="4"/>
      <c r="P16" s="4"/>
      <c r="Q16" s="4"/>
      <c r="R16" s="4"/>
      <c r="S16" s="5"/>
      <c r="T16" s="5"/>
      <c r="U16" s="5"/>
      <c r="V16" s="5"/>
      <c r="W16" s="5"/>
    </row>
    <row r="17" spans="1:23" x14ac:dyDescent="0.25">
      <c r="A17" s="29" t="s">
        <v>24</v>
      </c>
      <c r="B17" t="s">
        <v>16</v>
      </c>
      <c r="C17">
        <v>169</v>
      </c>
      <c r="D17" s="7">
        <v>3661</v>
      </c>
      <c r="E17">
        <v>15</v>
      </c>
      <c r="F17">
        <v>15</v>
      </c>
      <c r="G17" s="8">
        <v>546</v>
      </c>
      <c r="H17" s="5">
        <v>208</v>
      </c>
      <c r="I17" s="27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2.625</v>
      </c>
      <c r="J17" s="4">
        <f>IF(Tabelle2[[#This Row],[Gespendet]]*3-Tabelle2[[#This Row],[Spenden erhalten]]&gt;0,Tabelle2[[#This Row],[Gespendet]]*3-Tabelle2[[#This Row],[Spenden erhalten]],((Tabelle2[[#This Row],[Spenden erhalten]]/3)-Tabelle2[[#This Row],[Gespendet]])*(-1))</f>
        <v>1430</v>
      </c>
      <c r="K17" s="4"/>
      <c r="L17" s="4"/>
      <c r="M17" s="4"/>
      <c r="N17" s="4"/>
      <c r="O17" s="4"/>
      <c r="P17" s="4"/>
      <c r="Q17" s="4"/>
      <c r="R17" s="4"/>
      <c r="S17" s="5"/>
      <c r="T17" s="5"/>
      <c r="U17" s="5"/>
      <c r="V17" s="5"/>
      <c r="W17" s="5"/>
    </row>
    <row r="18" spans="1:23" x14ac:dyDescent="0.25">
      <c r="A18" s="24" t="s">
        <v>53</v>
      </c>
      <c r="B18" t="s">
        <v>16</v>
      </c>
      <c r="C18">
        <v>172</v>
      </c>
      <c r="D18" s="7">
        <v>3643</v>
      </c>
      <c r="E18">
        <v>16</v>
      </c>
      <c r="F18">
        <v>16</v>
      </c>
      <c r="G18" s="8">
        <v>40</v>
      </c>
      <c r="H18" s="5">
        <v>865</v>
      </c>
      <c r="I18" s="27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4.6242774566473986E-2</v>
      </c>
      <c r="J18" s="4">
        <f>IF(Tabelle2[[#This Row],[Gespendet]]*3-Tabelle2[[#This Row],[Spenden erhalten]]&gt;0,Tabelle2[[#This Row],[Gespendet]]*3-Tabelle2[[#This Row],[Spenden erhalten]],((Tabelle2[[#This Row],[Spenden erhalten]]/3)-Tabelle2[[#This Row],[Gespendet]])*(-1))</f>
        <v>-248.33333333333331</v>
      </c>
      <c r="K18" s="4"/>
      <c r="L18" s="4"/>
      <c r="M18" s="4"/>
      <c r="N18" s="4"/>
      <c r="O18" s="4"/>
      <c r="P18" s="4"/>
      <c r="Q18" s="4"/>
      <c r="R18" s="4"/>
      <c r="S18" s="5"/>
      <c r="T18" s="5"/>
      <c r="U18" s="5"/>
      <c r="V18" s="5"/>
      <c r="W18" s="5"/>
    </row>
    <row r="19" spans="1:23" x14ac:dyDescent="0.25">
      <c r="A19" s="24" t="s">
        <v>54</v>
      </c>
      <c r="B19" t="s">
        <v>16</v>
      </c>
      <c r="C19">
        <v>197</v>
      </c>
      <c r="D19" s="5">
        <v>3617</v>
      </c>
      <c r="E19">
        <v>17</v>
      </c>
      <c r="F19">
        <v>17</v>
      </c>
      <c r="G19" s="8">
        <v>0</v>
      </c>
      <c r="H19" s="5">
        <v>0</v>
      </c>
      <c r="I19" s="27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0</v>
      </c>
      <c r="J19" s="4">
        <f>IF(Tabelle2[[#This Row],[Gespendet]]*3-Tabelle2[[#This Row],[Spenden erhalten]]&gt;0,Tabelle2[[#This Row],[Gespendet]]*3-Tabelle2[[#This Row],[Spenden erhalten]],((Tabelle2[[#This Row],[Spenden erhalten]]/3)-Tabelle2[[#This Row],[Gespendet]])*(-1))</f>
        <v>0</v>
      </c>
      <c r="K19" s="4"/>
      <c r="L19" s="4"/>
      <c r="M19" s="4"/>
      <c r="N19" s="4"/>
      <c r="O19" s="4"/>
      <c r="P19" s="4"/>
      <c r="Q19" s="4"/>
      <c r="R19" s="4"/>
      <c r="S19" s="5"/>
      <c r="T19" s="5"/>
      <c r="U19" s="5"/>
      <c r="V19" s="5"/>
      <c r="W19" s="5"/>
    </row>
    <row r="20" spans="1:23" x14ac:dyDescent="0.25">
      <c r="A20" s="24" t="s">
        <v>36</v>
      </c>
      <c r="B20" t="s">
        <v>18</v>
      </c>
      <c r="C20">
        <v>224</v>
      </c>
      <c r="D20" s="5">
        <v>3576</v>
      </c>
      <c r="E20">
        <v>18</v>
      </c>
      <c r="F20">
        <v>18</v>
      </c>
      <c r="G20" s="8">
        <v>0</v>
      </c>
      <c r="H20" s="5">
        <v>0</v>
      </c>
      <c r="I20" s="27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0</v>
      </c>
      <c r="J20" s="4">
        <f>IF(Tabelle2[[#This Row],[Gespendet]]*3-Tabelle2[[#This Row],[Spenden erhalten]]&gt;0,Tabelle2[[#This Row],[Gespendet]]*3-Tabelle2[[#This Row],[Spenden erhalten]],((Tabelle2[[#This Row],[Spenden erhalten]]/3)-Tabelle2[[#This Row],[Gespendet]])*(-1))</f>
        <v>0</v>
      </c>
      <c r="K20" s="4"/>
      <c r="L20" s="4"/>
      <c r="M20" s="4"/>
      <c r="N20" s="4"/>
      <c r="O20" s="4"/>
      <c r="P20" s="4"/>
      <c r="Q20" s="4"/>
      <c r="R20" s="4"/>
      <c r="S20" s="5"/>
      <c r="T20" s="5"/>
      <c r="U20" s="5"/>
      <c r="V20" s="5"/>
      <c r="W20" s="5"/>
    </row>
    <row r="21" spans="1:23" x14ac:dyDescent="0.25">
      <c r="A21" s="24" t="s">
        <v>55</v>
      </c>
      <c r="B21" t="s">
        <v>16</v>
      </c>
      <c r="C21">
        <v>123</v>
      </c>
      <c r="D21" s="7">
        <v>3505</v>
      </c>
      <c r="E21">
        <v>19</v>
      </c>
      <c r="F21">
        <v>19</v>
      </c>
      <c r="G21" s="8">
        <v>110</v>
      </c>
      <c r="H21" s="5">
        <v>1440</v>
      </c>
      <c r="I21" s="27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7.6388888888888895E-2</v>
      </c>
      <c r="J21" s="4">
        <f>IF(Tabelle2[[#This Row],[Gespendet]]*3-Tabelle2[[#This Row],[Spenden erhalten]]&gt;0,Tabelle2[[#This Row],[Gespendet]]*3-Tabelle2[[#This Row],[Spenden erhalten]],((Tabelle2[[#This Row],[Spenden erhalten]]/3)-Tabelle2[[#This Row],[Gespendet]])*(-1))</f>
        <v>-370</v>
      </c>
      <c r="K21" s="4"/>
      <c r="L21" s="4"/>
      <c r="M21" s="4"/>
      <c r="N21" s="4"/>
      <c r="O21" s="4"/>
      <c r="P21" s="4"/>
      <c r="Q21" s="4"/>
      <c r="R21" s="4"/>
      <c r="S21" s="5"/>
      <c r="T21" s="5"/>
      <c r="U21" s="5"/>
      <c r="V21" s="5"/>
      <c r="W21" s="5"/>
    </row>
    <row r="22" spans="1:23" x14ac:dyDescent="0.25">
      <c r="A22" s="24" t="s">
        <v>46</v>
      </c>
      <c r="B22" t="s">
        <v>18</v>
      </c>
      <c r="C22">
        <v>173</v>
      </c>
      <c r="D22" s="7">
        <v>3442</v>
      </c>
      <c r="E22">
        <v>20</v>
      </c>
      <c r="F22">
        <v>20</v>
      </c>
      <c r="G22" s="8">
        <v>333</v>
      </c>
      <c r="H22" s="5">
        <v>10</v>
      </c>
      <c r="I22" s="27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33.299999999999997</v>
      </c>
      <c r="J22" s="4">
        <f>IF(Tabelle2[[#This Row],[Gespendet]]*3-Tabelle2[[#This Row],[Spenden erhalten]]&gt;0,Tabelle2[[#This Row],[Gespendet]]*3-Tabelle2[[#This Row],[Spenden erhalten]],((Tabelle2[[#This Row],[Spenden erhalten]]/3)-Tabelle2[[#This Row],[Gespendet]])*(-1))</f>
        <v>989</v>
      </c>
      <c r="K22" s="4"/>
      <c r="L22" s="4"/>
      <c r="M22" s="4"/>
      <c r="N22" s="4"/>
      <c r="O22" s="4"/>
      <c r="P22" s="4"/>
      <c r="Q22" s="4"/>
      <c r="R22" s="4"/>
      <c r="S22" s="5"/>
      <c r="T22" s="5"/>
      <c r="U22" s="5"/>
      <c r="V22" s="5"/>
      <c r="W22" s="5"/>
    </row>
    <row r="23" spans="1:23" x14ac:dyDescent="0.25">
      <c r="A23" s="24" t="s">
        <v>56</v>
      </c>
      <c r="B23" t="s">
        <v>16</v>
      </c>
      <c r="C23">
        <v>167</v>
      </c>
      <c r="D23" s="7">
        <v>3321</v>
      </c>
      <c r="E23">
        <v>21</v>
      </c>
      <c r="F23">
        <v>21</v>
      </c>
      <c r="G23" s="8">
        <v>152</v>
      </c>
      <c r="H23" s="5">
        <v>216</v>
      </c>
      <c r="I23" s="27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0.70370370370370372</v>
      </c>
      <c r="J23" s="4">
        <f>IF(Tabelle2[[#This Row],[Gespendet]]*3-Tabelle2[[#This Row],[Spenden erhalten]]&gt;0,Tabelle2[[#This Row],[Gespendet]]*3-Tabelle2[[#This Row],[Spenden erhalten]],((Tabelle2[[#This Row],[Spenden erhalten]]/3)-Tabelle2[[#This Row],[Gespendet]])*(-1))</f>
        <v>240</v>
      </c>
      <c r="K23" s="4"/>
      <c r="L23" s="4"/>
      <c r="M23" s="4"/>
      <c r="N23" s="4"/>
      <c r="O23" s="4"/>
      <c r="P23" s="4"/>
      <c r="Q23" s="4"/>
      <c r="R23" s="4"/>
      <c r="S23" s="5"/>
      <c r="T23" s="5"/>
      <c r="U23" s="5"/>
      <c r="V23" s="5"/>
      <c r="W23" s="5"/>
    </row>
    <row r="24" spans="1:23" x14ac:dyDescent="0.25">
      <c r="A24" s="24" t="s">
        <v>48</v>
      </c>
      <c r="B24" t="s">
        <v>15</v>
      </c>
      <c r="C24">
        <v>145</v>
      </c>
      <c r="D24" s="7">
        <v>3294</v>
      </c>
      <c r="E24">
        <v>22</v>
      </c>
      <c r="F24">
        <v>22</v>
      </c>
      <c r="G24" s="8">
        <v>173</v>
      </c>
      <c r="H24" s="5">
        <v>432</v>
      </c>
      <c r="I24" s="27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0.40046296296296297</v>
      </c>
      <c r="J24" s="4">
        <f>IF(Tabelle2[[#This Row],[Gespendet]]*3-Tabelle2[[#This Row],[Spenden erhalten]]&gt;0,Tabelle2[[#This Row],[Gespendet]]*3-Tabelle2[[#This Row],[Spenden erhalten]],((Tabelle2[[#This Row],[Spenden erhalten]]/3)-Tabelle2[[#This Row],[Gespendet]])*(-1))</f>
        <v>87</v>
      </c>
      <c r="K24" s="4"/>
      <c r="L24" s="4"/>
      <c r="M24" s="4"/>
      <c r="N24" s="4"/>
      <c r="O24" s="4"/>
      <c r="P24" s="4"/>
      <c r="Q24" s="4"/>
      <c r="R24" s="4"/>
      <c r="S24" s="5"/>
      <c r="T24" s="5"/>
      <c r="U24" s="5"/>
      <c r="V24" s="5"/>
      <c r="W24" s="5"/>
    </row>
    <row r="25" spans="1:23" x14ac:dyDescent="0.25">
      <c r="A25" s="24" t="s">
        <v>57</v>
      </c>
      <c r="B25" t="s">
        <v>16</v>
      </c>
      <c r="C25">
        <v>163</v>
      </c>
      <c r="D25" s="5">
        <v>3218</v>
      </c>
      <c r="E25">
        <v>23</v>
      </c>
      <c r="F25">
        <v>23</v>
      </c>
      <c r="G25" s="8">
        <v>0</v>
      </c>
      <c r="H25" s="5">
        <v>0</v>
      </c>
      <c r="I25" s="27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0</v>
      </c>
      <c r="J25" s="4">
        <f>IF(Tabelle2[[#This Row],[Gespendet]]*3-Tabelle2[[#This Row],[Spenden erhalten]]&gt;0,Tabelle2[[#This Row],[Gespendet]]*3-Tabelle2[[#This Row],[Spenden erhalten]],((Tabelle2[[#This Row],[Spenden erhalten]]/3)-Tabelle2[[#This Row],[Gespendet]])*(-1))</f>
        <v>0</v>
      </c>
      <c r="K25" s="4"/>
      <c r="L25" s="4"/>
      <c r="M25" s="4"/>
      <c r="N25" s="4"/>
      <c r="O25" s="4"/>
      <c r="P25" s="4"/>
      <c r="Q25" s="4"/>
      <c r="R25" s="4"/>
      <c r="S25" s="5"/>
      <c r="T25" s="5"/>
      <c r="U25" s="5"/>
      <c r="V25" s="5"/>
      <c r="W25" s="5"/>
    </row>
    <row r="26" spans="1:23" x14ac:dyDescent="0.25">
      <c r="A26" s="24" t="s">
        <v>58</v>
      </c>
      <c r="B26" t="s">
        <v>16</v>
      </c>
      <c r="C26">
        <v>153</v>
      </c>
      <c r="D26" s="5">
        <v>3124</v>
      </c>
      <c r="E26">
        <v>24</v>
      </c>
      <c r="F26">
        <v>24</v>
      </c>
      <c r="G26" s="8">
        <v>177</v>
      </c>
      <c r="H26" s="5">
        <v>258</v>
      </c>
      <c r="I26" s="27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0.68604651162790697</v>
      </c>
      <c r="J26" s="4">
        <f>IF(Tabelle2[[#This Row],[Gespendet]]*3-Tabelle2[[#This Row],[Spenden erhalten]]&gt;0,Tabelle2[[#This Row],[Gespendet]]*3-Tabelle2[[#This Row],[Spenden erhalten]],((Tabelle2[[#This Row],[Spenden erhalten]]/3)-Tabelle2[[#This Row],[Gespendet]])*(-1))</f>
        <v>273</v>
      </c>
      <c r="K26" s="4"/>
      <c r="L26" s="4"/>
      <c r="M26" s="4"/>
      <c r="N26" s="4"/>
      <c r="O26" s="4"/>
      <c r="P26" s="4"/>
      <c r="Q26" s="4"/>
      <c r="R26" s="4"/>
      <c r="S26" s="5"/>
      <c r="T26" s="5"/>
      <c r="U26" s="5"/>
      <c r="V26" s="5"/>
      <c r="W26" s="5"/>
    </row>
    <row r="27" spans="1:23" x14ac:dyDescent="0.25">
      <c r="A27" s="29" t="s">
        <v>37</v>
      </c>
      <c r="B27" t="s">
        <v>18</v>
      </c>
      <c r="C27">
        <v>195</v>
      </c>
      <c r="D27" s="5">
        <v>3086</v>
      </c>
      <c r="E27">
        <v>25</v>
      </c>
      <c r="F27">
        <v>26</v>
      </c>
      <c r="G27" s="8">
        <v>0</v>
      </c>
      <c r="H27" s="5">
        <v>0</v>
      </c>
      <c r="I27" s="27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0</v>
      </c>
      <c r="J27" s="4">
        <f>IF(Tabelle2[[#This Row],[Gespendet]]*3-Tabelle2[[#This Row],[Spenden erhalten]]&gt;0,Tabelle2[[#This Row],[Gespendet]]*3-Tabelle2[[#This Row],[Spenden erhalten]],((Tabelle2[[#This Row],[Spenden erhalten]]/3)-Tabelle2[[#This Row],[Gespendet]])*(-1))</f>
        <v>0</v>
      </c>
      <c r="K27" s="4"/>
      <c r="L27" s="4"/>
      <c r="M27" s="4"/>
      <c r="N27" s="4"/>
      <c r="O27" s="4"/>
      <c r="P27" s="4"/>
      <c r="Q27" s="4"/>
      <c r="R27" s="4"/>
      <c r="S27" s="5"/>
      <c r="T27" s="5"/>
      <c r="U27" s="5"/>
      <c r="V27" s="5"/>
      <c r="W27" s="5"/>
    </row>
    <row r="28" spans="1:23" x14ac:dyDescent="0.25">
      <c r="A28" s="24" t="s">
        <v>59</v>
      </c>
      <c r="B28" t="s">
        <v>16</v>
      </c>
      <c r="C28">
        <v>150</v>
      </c>
      <c r="D28" s="5">
        <v>3076</v>
      </c>
      <c r="E28">
        <v>26</v>
      </c>
      <c r="F28">
        <v>25</v>
      </c>
      <c r="G28" s="8">
        <v>0</v>
      </c>
      <c r="H28" s="5">
        <v>0</v>
      </c>
      <c r="I28" s="27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0</v>
      </c>
      <c r="J28" s="4">
        <f>IF(Tabelle2[[#This Row],[Gespendet]]*3-Tabelle2[[#This Row],[Spenden erhalten]]&gt;0,Tabelle2[[#This Row],[Gespendet]]*3-Tabelle2[[#This Row],[Spenden erhalten]],((Tabelle2[[#This Row],[Spenden erhalten]]/3)-Tabelle2[[#This Row],[Gespendet]])*(-1))</f>
        <v>0</v>
      </c>
      <c r="K28" s="4"/>
      <c r="L28" s="4"/>
      <c r="M28" s="4"/>
      <c r="N28" s="4"/>
      <c r="O28" s="4"/>
      <c r="P28" s="4"/>
      <c r="Q28" s="4"/>
      <c r="R28" s="4"/>
      <c r="S28" s="5"/>
      <c r="T28" s="5"/>
      <c r="U28" s="5"/>
      <c r="V28" s="5"/>
      <c r="W28" s="5"/>
    </row>
    <row r="29" spans="1:23" x14ac:dyDescent="0.25">
      <c r="A29" s="24" t="s">
        <v>31</v>
      </c>
      <c r="B29" t="s">
        <v>18</v>
      </c>
      <c r="C29">
        <v>223</v>
      </c>
      <c r="D29" s="7">
        <v>3012</v>
      </c>
      <c r="E29">
        <v>27</v>
      </c>
      <c r="F29">
        <v>27</v>
      </c>
      <c r="G29" s="8">
        <v>1738</v>
      </c>
      <c r="H29" s="5">
        <v>206</v>
      </c>
      <c r="I29" s="27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8.4368932038834945</v>
      </c>
      <c r="J29" s="4">
        <f>IF(Tabelle2[[#This Row],[Gespendet]]*3-Tabelle2[[#This Row],[Spenden erhalten]]&gt;0,Tabelle2[[#This Row],[Gespendet]]*3-Tabelle2[[#This Row],[Spenden erhalten]],((Tabelle2[[#This Row],[Spenden erhalten]]/3)-Tabelle2[[#This Row],[Gespendet]])*(-1))</f>
        <v>5008</v>
      </c>
      <c r="K29" s="4">
        <v>7</v>
      </c>
      <c r="L29" s="4"/>
      <c r="M29" s="4"/>
      <c r="N29" s="4"/>
      <c r="O29" s="4"/>
      <c r="P29" s="4"/>
      <c r="Q29" s="4"/>
      <c r="R29" s="4"/>
      <c r="S29" s="5"/>
      <c r="T29" s="5"/>
      <c r="U29" s="5"/>
      <c r="V29" s="5"/>
      <c r="W29" s="5"/>
    </row>
    <row r="30" spans="1:23" x14ac:dyDescent="0.25">
      <c r="A30" s="24" t="s">
        <v>60</v>
      </c>
      <c r="B30" t="s">
        <v>16</v>
      </c>
      <c r="C30">
        <v>143</v>
      </c>
      <c r="D30" s="7">
        <v>2933</v>
      </c>
      <c r="E30">
        <v>28</v>
      </c>
      <c r="F30">
        <v>28</v>
      </c>
      <c r="G30" s="8">
        <v>0</v>
      </c>
      <c r="H30" s="5">
        <v>0</v>
      </c>
      <c r="I30" s="27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0</v>
      </c>
      <c r="J30" s="4">
        <f>IF(Tabelle2[[#This Row],[Gespendet]]*3-Tabelle2[[#This Row],[Spenden erhalten]]&gt;0,Tabelle2[[#This Row],[Gespendet]]*3-Tabelle2[[#This Row],[Spenden erhalten]],((Tabelle2[[#This Row],[Spenden erhalten]]/3)-Tabelle2[[#This Row],[Gespendet]])*(-1))</f>
        <v>0</v>
      </c>
      <c r="K30" s="4"/>
      <c r="L30" s="4"/>
      <c r="M30" s="4"/>
      <c r="N30" s="4"/>
      <c r="O30" s="4"/>
      <c r="P30" s="4"/>
      <c r="Q30" s="4"/>
      <c r="R30" s="4"/>
      <c r="S30" s="5"/>
      <c r="T30" s="5"/>
      <c r="U30" s="5"/>
      <c r="V30" s="5"/>
      <c r="W30" s="5"/>
    </row>
    <row r="31" spans="1:23" x14ac:dyDescent="0.25">
      <c r="A31" s="24" t="s">
        <v>61</v>
      </c>
      <c r="B31" t="s">
        <v>16</v>
      </c>
      <c r="C31">
        <v>152</v>
      </c>
      <c r="D31" s="7">
        <v>2843</v>
      </c>
      <c r="E31">
        <v>29</v>
      </c>
      <c r="F31">
        <v>30</v>
      </c>
      <c r="G31" s="8">
        <v>90</v>
      </c>
      <c r="H31" s="5">
        <v>72</v>
      </c>
      <c r="I31" s="27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1.25</v>
      </c>
      <c r="J31" s="4">
        <f>IF(Tabelle2[[#This Row],[Gespendet]]*3-Tabelle2[[#This Row],[Spenden erhalten]]&gt;0,Tabelle2[[#This Row],[Gespendet]]*3-Tabelle2[[#This Row],[Spenden erhalten]],((Tabelle2[[#This Row],[Spenden erhalten]]/3)-Tabelle2[[#This Row],[Gespendet]])*(-1))</f>
        <v>198</v>
      </c>
      <c r="K31" s="4"/>
      <c r="L31" s="4"/>
      <c r="M31" s="4"/>
      <c r="N31" s="4"/>
      <c r="O31" s="4"/>
      <c r="P31" s="4"/>
      <c r="Q31" s="4"/>
      <c r="R31" s="4"/>
      <c r="S31" s="5"/>
      <c r="T31" s="5"/>
      <c r="U31" s="5"/>
      <c r="V31" s="5"/>
      <c r="W31" s="5"/>
    </row>
    <row r="32" spans="1:23" x14ac:dyDescent="0.25">
      <c r="A32" s="24" t="s">
        <v>24</v>
      </c>
      <c r="B32" t="s">
        <v>15</v>
      </c>
      <c r="C32">
        <v>175</v>
      </c>
      <c r="D32" s="7">
        <v>2837</v>
      </c>
      <c r="E32">
        <v>30</v>
      </c>
      <c r="F32">
        <v>31</v>
      </c>
      <c r="G32" s="8">
        <v>148</v>
      </c>
      <c r="H32" s="5">
        <v>120</v>
      </c>
      <c r="I32" s="27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1.2333333333333334</v>
      </c>
      <c r="J32" s="4">
        <f>IF(Tabelle2[[#This Row],[Gespendet]]*3-Tabelle2[[#This Row],[Spenden erhalten]]&gt;0,Tabelle2[[#This Row],[Gespendet]]*3-Tabelle2[[#This Row],[Spenden erhalten]],((Tabelle2[[#This Row],[Spenden erhalten]]/3)-Tabelle2[[#This Row],[Gespendet]])*(-1))</f>
        <v>324</v>
      </c>
      <c r="K32" s="4"/>
      <c r="L32" s="4"/>
      <c r="M32" s="4"/>
      <c r="N32" s="4"/>
      <c r="O32" s="4"/>
      <c r="P32" s="4"/>
      <c r="Q32" s="4"/>
      <c r="R32" s="4"/>
      <c r="S32" s="5"/>
      <c r="T32" s="5"/>
      <c r="U32" s="5"/>
      <c r="V32" s="5"/>
      <c r="W32" s="5"/>
    </row>
    <row r="33" spans="1:23" x14ac:dyDescent="0.25">
      <c r="A33" s="24" t="s">
        <v>62</v>
      </c>
      <c r="B33" t="s">
        <v>16</v>
      </c>
      <c r="C33">
        <v>112</v>
      </c>
      <c r="D33" s="7">
        <v>2834</v>
      </c>
      <c r="E33">
        <v>31</v>
      </c>
      <c r="F33">
        <v>29</v>
      </c>
      <c r="G33" s="8">
        <v>30</v>
      </c>
      <c r="H33" s="5">
        <v>0</v>
      </c>
      <c r="I33" s="27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3</v>
      </c>
      <c r="J33" s="4">
        <f>IF(Tabelle2[[#This Row],[Gespendet]]*3-Tabelle2[[#This Row],[Spenden erhalten]]&gt;0,Tabelle2[[#This Row],[Gespendet]]*3-Tabelle2[[#This Row],[Spenden erhalten]],((Tabelle2[[#This Row],[Spenden erhalten]]/3)-Tabelle2[[#This Row],[Gespendet]])*(-1))</f>
        <v>90</v>
      </c>
      <c r="K33" s="4"/>
      <c r="L33" s="4"/>
      <c r="M33" s="4"/>
      <c r="N33" s="4"/>
      <c r="O33" s="4"/>
      <c r="P33" s="4"/>
      <c r="Q33" s="4"/>
      <c r="R33" s="4"/>
      <c r="S33" s="5"/>
      <c r="T33" s="5"/>
      <c r="U33" s="5"/>
      <c r="V33" s="5"/>
      <c r="W33" s="5"/>
    </row>
    <row r="34" spans="1:23" x14ac:dyDescent="0.25">
      <c r="A34" s="24" t="s">
        <v>63</v>
      </c>
      <c r="B34" t="s">
        <v>16</v>
      </c>
      <c r="C34">
        <v>148</v>
      </c>
      <c r="D34" s="7">
        <v>2823</v>
      </c>
      <c r="E34">
        <v>32</v>
      </c>
      <c r="F34">
        <v>32</v>
      </c>
      <c r="G34" s="8">
        <v>111</v>
      </c>
      <c r="H34" s="5">
        <v>447</v>
      </c>
      <c r="I34" s="27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0.24832214765100671</v>
      </c>
      <c r="J34" s="4">
        <f>IF(Tabelle2[[#This Row],[Gespendet]]*3-Tabelle2[[#This Row],[Spenden erhalten]]&gt;0,Tabelle2[[#This Row],[Gespendet]]*3-Tabelle2[[#This Row],[Spenden erhalten]],((Tabelle2[[#This Row],[Spenden erhalten]]/3)-Tabelle2[[#This Row],[Gespendet]])*(-1))</f>
        <v>-38</v>
      </c>
      <c r="K34" s="4"/>
      <c r="L34" s="4"/>
      <c r="M34" s="4"/>
      <c r="N34" s="4"/>
      <c r="O34" s="4"/>
      <c r="P34" s="4"/>
      <c r="Q34" s="4"/>
      <c r="R34" s="4"/>
      <c r="S34" s="5"/>
      <c r="T34" s="5"/>
      <c r="U34" s="5"/>
      <c r="V34" s="5"/>
      <c r="W34" s="5"/>
    </row>
    <row r="35" spans="1:23" x14ac:dyDescent="0.25">
      <c r="A35" s="29" t="s">
        <v>64</v>
      </c>
      <c r="B35" t="s">
        <v>16</v>
      </c>
      <c r="C35">
        <v>126</v>
      </c>
      <c r="D35" s="7">
        <v>2823</v>
      </c>
      <c r="E35">
        <v>33</v>
      </c>
      <c r="F35">
        <v>34</v>
      </c>
      <c r="G35" s="8">
        <v>0</v>
      </c>
      <c r="H35" s="5">
        <v>324</v>
      </c>
      <c r="I35" s="27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0</v>
      </c>
      <c r="J35" s="4">
        <f>IF(Tabelle2[[#This Row],[Gespendet]]*3-Tabelle2[[#This Row],[Spenden erhalten]]&gt;0,Tabelle2[[#This Row],[Gespendet]]*3-Tabelle2[[#This Row],[Spenden erhalten]],((Tabelle2[[#This Row],[Spenden erhalten]]/3)-Tabelle2[[#This Row],[Gespendet]])*(-1))</f>
        <v>-108</v>
      </c>
      <c r="K35" s="4"/>
      <c r="L35" s="4"/>
      <c r="M35" s="4"/>
      <c r="N35" s="4"/>
      <c r="O35" s="4"/>
      <c r="P35" s="4"/>
      <c r="Q35" s="4"/>
      <c r="R35" s="4"/>
      <c r="S35" s="5"/>
      <c r="T35" s="5"/>
      <c r="U35" s="5"/>
      <c r="V35" s="5"/>
      <c r="W35" s="5"/>
    </row>
    <row r="36" spans="1:23" x14ac:dyDescent="0.25">
      <c r="A36" s="24" t="s">
        <v>65</v>
      </c>
      <c r="B36" t="s">
        <v>16</v>
      </c>
      <c r="C36">
        <v>138</v>
      </c>
      <c r="D36" s="7">
        <v>2820</v>
      </c>
      <c r="E36">
        <v>34</v>
      </c>
      <c r="F36">
        <v>33</v>
      </c>
      <c r="G36" s="8">
        <v>0</v>
      </c>
      <c r="H36" s="5">
        <v>134</v>
      </c>
      <c r="I36" s="27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0</v>
      </c>
      <c r="J36" s="4">
        <f>IF(Tabelle2[[#This Row],[Gespendet]]*3-Tabelle2[[#This Row],[Spenden erhalten]]&gt;0,Tabelle2[[#This Row],[Gespendet]]*3-Tabelle2[[#This Row],[Spenden erhalten]],((Tabelle2[[#This Row],[Spenden erhalten]]/3)-Tabelle2[[#This Row],[Gespendet]])*(-1))</f>
        <v>-44.666666666666664</v>
      </c>
      <c r="K36" s="4"/>
      <c r="L36" s="4"/>
      <c r="M36" s="4"/>
      <c r="N36" s="4"/>
      <c r="O36" s="4"/>
      <c r="P36" s="4"/>
      <c r="Q36" s="4"/>
      <c r="R36" s="4"/>
      <c r="S36" s="5"/>
      <c r="T36" s="5"/>
      <c r="U36" s="5"/>
      <c r="V36" s="5"/>
      <c r="W36" s="5"/>
    </row>
    <row r="37" spans="1:23" x14ac:dyDescent="0.25">
      <c r="A37" s="24" t="s">
        <v>66</v>
      </c>
      <c r="B37" t="s">
        <v>16</v>
      </c>
      <c r="C37">
        <v>132</v>
      </c>
      <c r="D37" s="7">
        <v>2786</v>
      </c>
      <c r="E37">
        <v>35</v>
      </c>
      <c r="F37">
        <v>35</v>
      </c>
      <c r="G37" s="8">
        <v>51</v>
      </c>
      <c r="H37" s="5">
        <v>789</v>
      </c>
      <c r="I37" s="27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6.4638783269961975E-2</v>
      </c>
      <c r="J37" s="4">
        <f>IF(Tabelle2[[#This Row],[Gespendet]]*3-Tabelle2[[#This Row],[Spenden erhalten]]&gt;0,Tabelle2[[#This Row],[Gespendet]]*3-Tabelle2[[#This Row],[Spenden erhalten]],((Tabelle2[[#This Row],[Spenden erhalten]]/3)-Tabelle2[[#This Row],[Gespendet]])*(-1))</f>
        <v>-212</v>
      </c>
      <c r="K37" s="4"/>
      <c r="L37" s="4"/>
      <c r="M37" s="4"/>
      <c r="N37" s="4"/>
      <c r="O37" s="4"/>
      <c r="P37" s="4"/>
      <c r="Q37" s="4"/>
      <c r="R37" s="4"/>
      <c r="S37" s="5"/>
      <c r="T37" s="5"/>
      <c r="U37" s="5"/>
      <c r="V37" s="5"/>
      <c r="W37" s="5"/>
    </row>
    <row r="38" spans="1:23" x14ac:dyDescent="0.25">
      <c r="A38" s="24" t="s">
        <v>67</v>
      </c>
      <c r="B38" t="s">
        <v>16</v>
      </c>
      <c r="C38">
        <v>130</v>
      </c>
      <c r="D38" s="7">
        <v>2767</v>
      </c>
      <c r="E38">
        <v>36</v>
      </c>
      <c r="F38">
        <v>36</v>
      </c>
      <c r="G38" s="8">
        <v>0</v>
      </c>
      <c r="H38" s="5">
        <v>144</v>
      </c>
      <c r="I38" s="27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0</v>
      </c>
      <c r="J38" s="4">
        <f>IF(Tabelle2[[#This Row],[Gespendet]]*3-Tabelle2[[#This Row],[Spenden erhalten]]&gt;0,Tabelle2[[#This Row],[Gespendet]]*3-Tabelle2[[#This Row],[Spenden erhalten]],((Tabelle2[[#This Row],[Spenden erhalten]]/3)-Tabelle2[[#This Row],[Gespendet]])*(-1))</f>
        <v>-48</v>
      </c>
      <c r="K38" s="4"/>
      <c r="L38" s="4"/>
      <c r="M38" s="4"/>
      <c r="N38" s="4"/>
      <c r="O38" s="4"/>
      <c r="P38" s="4"/>
      <c r="Q38" s="4"/>
      <c r="R38" s="4"/>
      <c r="S38" s="5"/>
      <c r="T38" s="5"/>
      <c r="U38" s="5"/>
      <c r="V38" s="5"/>
      <c r="W38" s="5"/>
    </row>
    <row r="39" spans="1:23" x14ac:dyDescent="0.25">
      <c r="A39" s="24" t="s">
        <v>68</v>
      </c>
      <c r="B39" t="s">
        <v>16</v>
      </c>
      <c r="C39">
        <v>147</v>
      </c>
      <c r="D39" s="7">
        <v>2732</v>
      </c>
      <c r="E39">
        <v>37</v>
      </c>
      <c r="F39">
        <v>37</v>
      </c>
      <c r="G39" s="8">
        <v>0</v>
      </c>
      <c r="H39" s="5">
        <v>0</v>
      </c>
      <c r="I39" s="27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0</v>
      </c>
      <c r="J39" s="4">
        <f>IF(Tabelle2[[#This Row],[Gespendet]]*3-Tabelle2[[#This Row],[Spenden erhalten]]&gt;0,Tabelle2[[#This Row],[Gespendet]]*3-Tabelle2[[#This Row],[Spenden erhalten]],((Tabelle2[[#This Row],[Spenden erhalten]]/3)-Tabelle2[[#This Row],[Gespendet]])*(-1))</f>
        <v>0</v>
      </c>
      <c r="K39" s="4"/>
      <c r="L39" s="4"/>
      <c r="M39" s="4"/>
      <c r="N39" s="4"/>
      <c r="O39" s="4"/>
      <c r="P39" s="4"/>
      <c r="Q39" s="4"/>
      <c r="R39" s="4"/>
      <c r="S39" s="5"/>
      <c r="T39" s="5"/>
      <c r="U39" s="5"/>
      <c r="V39" s="5"/>
      <c r="W39" s="5"/>
    </row>
    <row r="40" spans="1:23" x14ac:dyDescent="0.25">
      <c r="A40" s="24" t="s">
        <v>69</v>
      </c>
      <c r="B40" t="s">
        <v>16</v>
      </c>
      <c r="C40">
        <v>133</v>
      </c>
      <c r="D40" s="7">
        <v>2648</v>
      </c>
      <c r="E40">
        <v>38</v>
      </c>
      <c r="F40">
        <v>38</v>
      </c>
      <c r="G40" s="8">
        <v>0</v>
      </c>
      <c r="H40" s="5">
        <v>67</v>
      </c>
      <c r="I40" s="27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0</v>
      </c>
      <c r="J40" s="4">
        <f>IF(Tabelle2[[#This Row],[Gespendet]]*3-Tabelle2[[#This Row],[Spenden erhalten]]&gt;0,Tabelle2[[#This Row],[Gespendet]]*3-Tabelle2[[#This Row],[Spenden erhalten]],((Tabelle2[[#This Row],[Spenden erhalten]]/3)-Tabelle2[[#This Row],[Gespendet]])*(-1))</f>
        <v>-22.333333333333332</v>
      </c>
      <c r="K40" s="4"/>
      <c r="L40" s="4"/>
      <c r="M40" s="4"/>
      <c r="N40" s="4"/>
      <c r="O40" s="4"/>
      <c r="P40" s="4"/>
      <c r="Q40" s="4"/>
      <c r="R40" s="4"/>
      <c r="S40" s="5"/>
      <c r="T40" s="5"/>
      <c r="U40" s="5"/>
      <c r="V40" s="5"/>
      <c r="W40" s="5"/>
    </row>
    <row r="41" spans="1:23" x14ac:dyDescent="0.25">
      <c r="A41" s="24" t="s">
        <v>70</v>
      </c>
      <c r="B41" t="s">
        <v>16</v>
      </c>
      <c r="C41">
        <v>147</v>
      </c>
      <c r="D41" s="7">
        <v>2645</v>
      </c>
      <c r="E41">
        <v>39</v>
      </c>
      <c r="F41">
        <v>39</v>
      </c>
      <c r="G41" s="8">
        <v>0</v>
      </c>
      <c r="H41" s="5">
        <v>0</v>
      </c>
      <c r="I41" s="27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0</v>
      </c>
      <c r="J41" s="4">
        <f>IF(Tabelle2[[#This Row],[Gespendet]]*3-Tabelle2[[#This Row],[Spenden erhalten]]&gt;0,Tabelle2[[#This Row],[Gespendet]]*3-Tabelle2[[#This Row],[Spenden erhalten]],((Tabelle2[[#This Row],[Spenden erhalten]]/3)-Tabelle2[[#This Row],[Gespendet]])*(-1))</f>
        <v>0</v>
      </c>
      <c r="K41" s="4"/>
      <c r="L41" s="4"/>
      <c r="M41" s="4"/>
      <c r="N41" s="4"/>
      <c r="O41" s="4"/>
      <c r="P41" s="4"/>
      <c r="Q41" s="4"/>
      <c r="R41" s="4"/>
      <c r="S41" s="5"/>
      <c r="T41" s="5"/>
      <c r="U41" s="5"/>
      <c r="V41" s="5"/>
      <c r="W41" s="5"/>
    </row>
    <row r="42" spans="1:23" x14ac:dyDescent="0.25">
      <c r="A42" s="24" t="s">
        <v>71</v>
      </c>
      <c r="B42" t="s">
        <v>16</v>
      </c>
      <c r="C42">
        <v>141</v>
      </c>
      <c r="D42" s="7">
        <v>2510</v>
      </c>
      <c r="E42">
        <v>40</v>
      </c>
      <c r="F42">
        <v>40</v>
      </c>
      <c r="G42" s="8">
        <v>0</v>
      </c>
      <c r="H42" s="5">
        <v>186</v>
      </c>
      <c r="I42" s="27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0</v>
      </c>
      <c r="J42" s="4">
        <f>IF(Tabelle2[[#This Row],[Gespendet]]*3-Tabelle2[[#This Row],[Spenden erhalten]]&gt;0,Tabelle2[[#This Row],[Gespendet]]*3-Tabelle2[[#This Row],[Spenden erhalten]],((Tabelle2[[#This Row],[Spenden erhalten]]/3)-Tabelle2[[#This Row],[Gespendet]])*(-1))</f>
        <v>-62</v>
      </c>
      <c r="K42" s="4"/>
      <c r="L42" s="4"/>
      <c r="M42" s="4"/>
      <c r="N42" s="4"/>
      <c r="O42" s="4"/>
      <c r="P42" s="4"/>
      <c r="Q42" s="4"/>
      <c r="R42" s="4"/>
      <c r="S42" s="5"/>
      <c r="T42" s="5"/>
      <c r="U42" s="5"/>
      <c r="V42" s="5"/>
      <c r="W42" s="5"/>
    </row>
    <row r="43" spans="1:23" x14ac:dyDescent="0.25">
      <c r="A43" s="24" t="s">
        <v>49</v>
      </c>
      <c r="B43" t="s">
        <v>16</v>
      </c>
      <c r="C43">
        <v>119</v>
      </c>
      <c r="D43" s="7">
        <v>2404</v>
      </c>
      <c r="E43">
        <v>41</v>
      </c>
      <c r="F43">
        <v>41</v>
      </c>
      <c r="G43" s="8">
        <v>45</v>
      </c>
      <c r="H43" s="5">
        <v>100</v>
      </c>
      <c r="I43" s="27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0.45</v>
      </c>
      <c r="J43" s="4">
        <f>IF(Tabelle2[[#This Row],[Gespendet]]*3-Tabelle2[[#This Row],[Spenden erhalten]]&gt;0,Tabelle2[[#This Row],[Gespendet]]*3-Tabelle2[[#This Row],[Spenden erhalten]],((Tabelle2[[#This Row],[Spenden erhalten]]/3)-Tabelle2[[#This Row],[Gespendet]])*(-1))</f>
        <v>35</v>
      </c>
      <c r="K43" s="4"/>
      <c r="L43" s="4"/>
      <c r="M43" s="4"/>
      <c r="N43" s="4"/>
      <c r="O43" s="4"/>
      <c r="P43" s="4"/>
      <c r="Q43" s="4"/>
      <c r="R43" s="4"/>
      <c r="S43" s="5"/>
      <c r="T43" s="5"/>
      <c r="U43" s="5"/>
      <c r="V43" s="5"/>
      <c r="W43" s="5"/>
    </row>
    <row r="44" spans="1:23" x14ac:dyDescent="0.25">
      <c r="A44" s="24" t="s">
        <v>72</v>
      </c>
      <c r="B44" t="s">
        <v>16</v>
      </c>
      <c r="C44">
        <v>159</v>
      </c>
      <c r="D44" s="7">
        <v>2357</v>
      </c>
      <c r="E44">
        <v>42</v>
      </c>
      <c r="F44">
        <v>42</v>
      </c>
      <c r="G44" s="8">
        <v>0</v>
      </c>
      <c r="H44" s="5">
        <v>112</v>
      </c>
      <c r="I44" s="27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0</v>
      </c>
      <c r="J44" s="4">
        <f>IF(Tabelle2[[#This Row],[Gespendet]]*3-Tabelle2[[#This Row],[Spenden erhalten]]&gt;0,Tabelle2[[#This Row],[Gespendet]]*3-Tabelle2[[#This Row],[Spenden erhalten]],((Tabelle2[[#This Row],[Spenden erhalten]]/3)-Tabelle2[[#This Row],[Gespendet]])*(-1))</f>
        <v>-37.333333333333336</v>
      </c>
      <c r="K44" s="4"/>
      <c r="L44" s="4"/>
      <c r="M44" s="4"/>
      <c r="N44" s="4"/>
      <c r="O44" s="4"/>
      <c r="P44" s="4"/>
      <c r="Q44" s="4"/>
      <c r="R44" s="4"/>
      <c r="S44" s="5"/>
      <c r="T44" s="5"/>
      <c r="U44" s="5"/>
      <c r="V44" s="5"/>
      <c r="W44" s="5"/>
    </row>
    <row r="45" spans="1:23" x14ac:dyDescent="0.25">
      <c r="A45" s="29" t="s">
        <v>73</v>
      </c>
      <c r="B45" t="s">
        <v>16</v>
      </c>
      <c r="C45">
        <v>162</v>
      </c>
      <c r="D45" s="7">
        <v>2253</v>
      </c>
      <c r="E45">
        <v>43</v>
      </c>
      <c r="F45">
        <v>44</v>
      </c>
      <c r="G45" s="8">
        <v>479</v>
      </c>
      <c r="H45" s="5">
        <v>357</v>
      </c>
      <c r="I45" s="27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1.341736694677871</v>
      </c>
      <c r="J45" s="4">
        <f>IF(Tabelle2[[#This Row],[Gespendet]]*3-Tabelle2[[#This Row],[Spenden erhalten]]&gt;0,Tabelle2[[#This Row],[Gespendet]]*3-Tabelle2[[#This Row],[Spenden erhalten]],((Tabelle2[[#This Row],[Spenden erhalten]]/3)-Tabelle2[[#This Row],[Gespendet]])*(-1))</f>
        <v>1080</v>
      </c>
      <c r="K45" s="4"/>
      <c r="L45" s="4"/>
      <c r="M45" s="4"/>
      <c r="N45" s="4"/>
      <c r="O45" s="4"/>
      <c r="P45" s="4"/>
      <c r="Q45" s="4"/>
      <c r="R45" s="4"/>
      <c r="S45" s="5"/>
      <c r="T45" s="5"/>
      <c r="U45" s="5"/>
      <c r="V45" s="5"/>
      <c r="W45" s="5"/>
    </row>
    <row r="46" spans="1:23" x14ac:dyDescent="0.25">
      <c r="A46" s="24" t="s">
        <v>44</v>
      </c>
      <c r="B46" t="s">
        <v>15</v>
      </c>
      <c r="C46">
        <v>123</v>
      </c>
      <c r="D46" s="7">
        <v>2207</v>
      </c>
      <c r="E46">
        <v>44</v>
      </c>
      <c r="F46">
        <v>43</v>
      </c>
      <c r="G46" s="8">
        <v>0</v>
      </c>
      <c r="H46" s="5">
        <v>0</v>
      </c>
      <c r="I46" s="27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0</v>
      </c>
      <c r="J46" s="4">
        <f>IF(Tabelle2[[#This Row],[Gespendet]]*3-Tabelle2[[#This Row],[Spenden erhalten]]&gt;0,Tabelle2[[#This Row],[Gespendet]]*3-Tabelle2[[#This Row],[Spenden erhalten]],((Tabelle2[[#This Row],[Spenden erhalten]]/3)-Tabelle2[[#This Row],[Gespendet]])*(-1))</f>
        <v>0</v>
      </c>
      <c r="K46" s="4"/>
      <c r="L46" s="4"/>
      <c r="M46" s="4"/>
      <c r="N46" s="4"/>
      <c r="O46" s="4"/>
      <c r="P46" s="4"/>
      <c r="Q46" s="4"/>
      <c r="R46" s="4"/>
      <c r="S46" s="5"/>
      <c r="T46" s="5"/>
      <c r="U46" s="5"/>
      <c r="V46" s="5"/>
      <c r="W46" s="5"/>
    </row>
    <row r="47" spans="1:23" x14ac:dyDescent="0.25">
      <c r="A47" s="24" t="s">
        <v>74</v>
      </c>
      <c r="B47" t="s">
        <v>16</v>
      </c>
      <c r="C47">
        <v>161</v>
      </c>
      <c r="D47" s="5">
        <v>2166</v>
      </c>
      <c r="E47">
        <v>45</v>
      </c>
      <c r="F47">
        <v>45</v>
      </c>
      <c r="G47" s="8">
        <v>55</v>
      </c>
      <c r="H47" s="5">
        <v>0</v>
      </c>
      <c r="I47" s="27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3</v>
      </c>
      <c r="J47" s="4">
        <f>IF(Tabelle2[[#This Row],[Gespendet]]*3-Tabelle2[[#This Row],[Spenden erhalten]]&gt;0,Tabelle2[[#This Row],[Gespendet]]*3-Tabelle2[[#This Row],[Spenden erhalten]],((Tabelle2[[#This Row],[Spenden erhalten]]/3)-Tabelle2[[#This Row],[Gespendet]])*(-1))</f>
        <v>165</v>
      </c>
      <c r="K47" s="4"/>
      <c r="L47" s="4"/>
      <c r="M47" s="4"/>
      <c r="N47" s="4"/>
      <c r="O47" s="4"/>
      <c r="P47" s="4"/>
      <c r="Q47" s="4"/>
      <c r="R47" s="4"/>
      <c r="S47" s="5"/>
      <c r="T47" s="5"/>
      <c r="U47" s="5"/>
      <c r="V47" s="5"/>
      <c r="W47" s="5"/>
    </row>
    <row r="48" spans="1:23" x14ac:dyDescent="0.25">
      <c r="A48" s="24" t="s">
        <v>75</v>
      </c>
      <c r="B48" t="s">
        <v>16</v>
      </c>
      <c r="C48">
        <v>95</v>
      </c>
      <c r="D48" s="7">
        <v>2166</v>
      </c>
      <c r="E48">
        <v>46</v>
      </c>
      <c r="F48">
        <v>46</v>
      </c>
      <c r="G48" s="8">
        <v>50</v>
      </c>
      <c r="H48" s="5">
        <v>399</v>
      </c>
      <c r="I48" s="27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0.12531328320802004</v>
      </c>
      <c r="J48" s="4">
        <f>IF(Tabelle2[[#This Row],[Gespendet]]*3-Tabelle2[[#This Row],[Spenden erhalten]]&gt;0,Tabelle2[[#This Row],[Gespendet]]*3-Tabelle2[[#This Row],[Spenden erhalten]],((Tabelle2[[#This Row],[Spenden erhalten]]/3)-Tabelle2[[#This Row],[Gespendet]])*(-1))</f>
        <v>-83</v>
      </c>
      <c r="K48" s="4"/>
      <c r="L48" s="4"/>
      <c r="M48" s="4"/>
      <c r="N48" s="4"/>
      <c r="O48" s="4"/>
      <c r="P48" s="4"/>
      <c r="Q48" s="4"/>
      <c r="R48" s="4"/>
      <c r="S48" s="5"/>
      <c r="T48" s="5"/>
      <c r="U48" s="5"/>
      <c r="V48" s="5"/>
      <c r="W48" s="5"/>
    </row>
    <row r="49" spans="1:23" x14ac:dyDescent="0.25">
      <c r="A49" s="24" t="s">
        <v>76</v>
      </c>
      <c r="B49" t="s">
        <v>16</v>
      </c>
      <c r="C49">
        <v>141</v>
      </c>
      <c r="D49" s="7">
        <v>2106</v>
      </c>
      <c r="E49">
        <v>47</v>
      </c>
      <c r="F49">
        <v>47</v>
      </c>
      <c r="G49" s="8">
        <v>0</v>
      </c>
      <c r="H49" s="5">
        <v>0</v>
      </c>
      <c r="I49" s="27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0</v>
      </c>
      <c r="J49" s="4">
        <f>IF(Tabelle2[[#This Row],[Gespendet]]*3-Tabelle2[[#This Row],[Spenden erhalten]]&gt;0,Tabelle2[[#This Row],[Gespendet]]*3-Tabelle2[[#This Row],[Spenden erhalten]],((Tabelle2[[#This Row],[Spenden erhalten]]/3)-Tabelle2[[#This Row],[Gespendet]])*(-1))</f>
        <v>0</v>
      </c>
      <c r="K49" s="4"/>
      <c r="L49" s="4"/>
      <c r="M49" s="4"/>
      <c r="N49" s="4"/>
      <c r="O49" s="4"/>
      <c r="P49" s="4"/>
      <c r="Q49" s="4"/>
      <c r="R49" s="4"/>
      <c r="S49" s="5"/>
      <c r="T49" s="5"/>
      <c r="U49" s="5"/>
      <c r="V49" s="5"/>
      <c r="W49" s="5"/>
    </row>
    <row r="50" spans="1:23" x14ac:dyDescent="0.25">
      <c r="A50" s="24" t="s">
        <v>77</v>
      </c>
      <c r="B50" t="s">
        <v>16</v>
      </c>
      <c r="C50">
        <v>195</v>
      </c>
      <c r="D50" s="7">
        <v>2057</v>
      </c>
      <c r="E50">
        <v>48</v>
      </c>
      <c r="F50">
        <v>48</v>
      </c>
      <c r="G50" s="8">
        <v>1</v>
      </c>
      <c r="H50" s="5">
        <v>109</v>
      </c>
      <c r="I50" s="27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9.1743119266055051E-3</v>
      </c>
      <c r="J50" s="4">
        <f>IF(Tabelle2[[#This Row],[Gespendet]]*3-Tabelle2[[#This Row],[Spenden erhalten]]&gt;0,Tabelle2[[#This Row],[Gespendet]]*3-Tabelle2[[#This Row],[Spenden erhalten]],((Tabelle2[[#This Row],[Spenden erhalten]]/3)-Tabelle2[[#This Row],[Gespendet]])*(-1))</f>
        <v>-35.333333333333336</v>
      </c>
      <c r="K50" s="4"/>
      <c r="L50" s="4"/>
      <c r="M50" s="4"/>
      <c r="N50" s="4"/>
      <c r="O50" s="4"/>
      <c r="P50" s="4"/>
      <c r="Q50" s="4"/>
      <c r="R50" s="4"/>
      <c r="S50" s="5"/>
      <c r="T50" s="5"/>
      <c r="U50" s="5"/>
      <c r="V50" s="5"/>
      <c r="W50" s="5"/>
    </row>
    <row r="51" spans="1:23" x14ac:dyDescent="0.25">
      <c r="A51" s="24" t="s">
        <v>45</v>
      </c>
      <c r="B51" t="s">
        <v>16</v>
      </c>
      <c r="C51">
        <v>86</v>
      </c>
      <c r="D51" s="7">
        <v>1804</v>
      </c>
      <c r="E51">
        <v>49</v>
      </c>
      <c r="F51">
        <v>49</v>
      </c>
      <c r="G51" s="8">
        <v>0</v>
      </c>
      <c r="H51" s="5">
        <v>0</v>
      </c>
      <c r="I51" s="27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0</v>
      </c>
      <c r="J51" s="4">
        <f>IF(Tabelle2[[#This Row],[Gespendet]]*3-Tabelle2[[#This Row],[Spenden erhalten]]&gt;0,Tabelle2[[#This Row],[Gespendet]]*3-Tabelle2[[#This Row],[Spenden erhalten]],((Tabelle2[[#This Row],[Spenden erhalten]]/3)-Tabelle2[[#This Row],[Gespendet]])*(-1))</f>
        <v>0</v>
      </c>
      <c r="K51" s="4"/>
      <c r="L51" s="4"/>
      <c r="M51" s="4"/>
      <c r="N51" s="4"/>
      <c r="O51" s="4"/>
      <c r="P51" s="4"/>
      <c r="Q51" s="4"/>
      <c r="R51" s="4"/>
      <c r="S51" s="5"/>
      <c r="T51" s="5"/>
      <c r="U51" s="5"/>
      <c r="V51" s="5"/>
      <c r="W51" s="5"/>
    </row>
    <row r="52" spans="1:23" x14ac:dyDescent="0.25">
      <c r="A52" s="24" t="s">
        <v>78</v>
      </c>
      <c r="B52" t="s">
        <v>16</v>
      </c>
      <c r="C52">
        <v>130</v>
      </c>
      <c r="D52" s="7">
        <v>1767</v>
      </c>
      <c r="E52">
        <v>50</v>
      </c>
      <c r="F52">
        <v>50</v>
      </c>
      <c r="G52" s="8">
        <v>0</v>
      </c>
      <c r="H52" s="5">
        <v>198</v>
      </c>
      <c r="I52" s="27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0</v>
      </c>
      <c r="J52" s="4">
        <f>IF(Tabelle2[[#This Row],[Gespendet]]*3-Tabelle2[[#This Row],[Spenden erhalten]]&gt;0,Tabelle2[[#This Row],[Gespendet]]*3-Tabelle2[[#This Row],[Spenden erhalten]],((Tabelle2[[#This Row],[Spenden erhalten]]/3)-Tabelle2[[#This Row],[Gespendet]])*(-1))</f>
        <v>-66</v>
      </c>
      <c r="K52" s="4"/>
      <c r="L52" s="4"/>
      <c r="M52" s="4"/>
      <c r="N52" s="4"/>
      <c r="O52" s="4"/>
      <c r="P52" s="4"/>
      <c r="Q52" s="4"/>
      <c r="R52" s="4"/>
      <c r="S52" s="5"/>
      <c r="T52" s="5"/>
      <c r="U52" s="5"/>
      <c r="V52" s="5"/>
      <c r="W52" s="5"/>
    </row>
    <row r="53" spans="1:23" x14ac:dyDescent="0.25">
      <c r="D53" s="9"/>
      <c r="G53" s="9"/>
      <c r="H53" s="9"/>
      <c r="I53" s="3"/>
      <c r="J53" s="9"/>
      <c r="K53" s="9"/>
      <c r="L53"/>
      <c r="M53"/>
      <c r="N53"/>
      <c r="O53"/>
      <c r="P53"/>
      <c r="Q53"/>
      <c r="R53"/>
      <c r="S53"/>
      <c r="T53"/>
      <c r="U53"/>
      <c r="V53"/>
      <c r="W53" s="9"/>
    </row>
  </sheetData>
  <sortState xmlns:xlrd2="http://schemas.microsoft.com/office/spreadsheetml/2017/richdata2" ref="A3:R52">
    <sortCondition descending="1" ref="D3"/>
  </sortState>
  <mergeCells count="1">
    <mergeCell ref="A1:I1"/>
  </mergeCells>
  <conditionalFormatting sqref="B3:B52">
    <cfRule type="beginsWith" dxfId="13" priority="8" operator="beginsWith" text="leader">
      <formula>LEFT(B3,LEN("leader"))="leader"</formula>
    </cfRule>
    <cfRule type="containsText" dxfId="12" priority="9" operator="containsText" text="coLeader">
      <formula>NOT(ISERROR(SEARCH("coLeader",B3)))</formula>
    </cfRule>
    <cfRule type="containsText" dxfId="11" priority="10" operator="containsText" text="admin">
      <formula>NOT(ISERROR(SEARCH("admin",B3)))</formula>
    </cfRule>
    <cfRule type="containsText" dxfId="10" priority="11" operator="containsText" text="member">
      <formula>NOT(ISERROR(SEARCH("member",B3)))</formula>
    </cfRule>
  </conditionalFormatting>
  <conditionalFormatting sqref="J3:W3 J20:W53 J4:S19 U4:W19">
    <cfRule type="cellIs" dxfId="9" priority="6" operator="lessThan">
      <formula>0</formula>
    </cfRule>
  </conditionalFormatting>
  <conditionalFormatting sqref="I54:W1048576 I2:W3 I20:W52 I4:S19 U4:W19">
    <cfRule type="dataBar" priority="1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{2777DE34-CC14-4AB7-8FCF-1ED17BB381A0}</x14:id>
        </ext>
      </extLst>
    </cfRule>
  </conditionalFormatting>
  <conditionalFormatting sqref="I3:W3 I20:W52 I4:S19 U4:W19">
    <cfRule type="dataBar" priority="1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{64EF39A5-7341-45AB-B918-FA806AC61AA2}</x14:id>
        </ext>
      </extLst>
    </cfRule>
  </conditionalFormatting>
  <conditionalFormatting sqref="I13">
    <cfRule type="dataBar" priority="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{43078F9A-76D1-4D75-804D-97CAA8BA4235}</x14:id>
        </ext>
      </extLst>
    </cfRule>
  </conditionalFormatting>
  <conditionalFormatting sqref="I1:I1048576">
    <cfRule type="dataBar" priority="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{D93691E6-DB82-48B2-8BB0-9457F055BEA2}</x14:id>
        </ext>
      </extLst>
    </cfRule>
  </conditionalFormatting>
  <conditionalFormatting sqref="T4:T19">
    <cfRule type="cellIs" dxfId="8" priority="1" operator="lessThan">
      <formula>0</formula>
    </cfRule>
  </conditionalFormatting>
  <conditionalFormatting sqref="T4:T19">
    <cfRule type="dataBar" priority="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{2BF2E778-FB9C-4D40-8387-E477ADEB3256}</x14:id>
        </ext>
      </extLst>
    </cfRule>
  </conditionalFormatting>
  <conditionalFormatting sqref="T4:T19">
    <cfRule type="dataBar" priority="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{52AFEE8D-6307-49D5-A277-22D2ADD512B2}</x14:id>
        </ext>
      </extLst>
    </cfRule>
  </conditionalFormatting>
  <hyperlinks>
    <hyperlink ref="AC4" r:id="rId1" xr:uid="{00000000-0004-0000-0000-000000000000}"/>
    <hyperlink ref="AC5" r:id="rId2" location="clanTag=VQPVPJ09" xr:uid="{00000000-0004-0000-0000-000001000000}"/>
    <hyperlink ref="AD8" r:id="rId3" xr:uid="{00000000-0004-0000-0000-000002000000}"/>
  </hyperlinks>
  <pageMargins left="0.70866141732283472" right="0.70866141732283472" top="0.74803149606299213" bottom="0.74803149606299213" header="0.31496062992125984" footer="0.31496062992125984"/>
  <pageSetup paperSize="9" scale="61" orientation="portrait" horizontalDpi="4294967293" verticalDpi="30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7" name="Button 1">
              <controlPr defaultSize="0" print="0" autoFill="0" autoPict="0" macro="[0]!GetJSON">
                <anchor moveWithCells="1" sizeWithCells="1">
                  <from>
                    <xdr:col>23</xdr:col>
                    <xdr:colOff>19050</xdr:colOff>
                    <xdr:row>2</xdr:row>
                    <xdr:rowOff>0</xdr:rowOff>
                  </from>
                  <to>
                    <xdr:col>27</xdr:col>
                    <xdr:colOff>123825</xdr:colOff>
                    <xdr:row>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8" name="Button 2">
              <controlPr defaultSize="0" print="0" autoFill="0" autoPict="0" macro="[0]!ClanListeLeeren">
                <anchor moveWithCells="1" sizeWithCells="1">
                  <from>
                    <xdr:col>23</xdr:col>
                    <xdr:colOff>28575</xdr:colOff>
                    <xdr:row>7</xdr:row>
                    <xdr:rowOff>0</xdr:rowOff>
                  </from>
                  <to>
                    <xdr:col>27</xdr:col>
                    <xdr:colOff>142875</xdr:colOff>
                    <xdr:row>10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9" name="Button 22">
              <controlPr defaultSize="0" print="0" autoFill="0" autoPict="0" macro="[0]!sortierenSpenden">
                <anchor moveWithCells="1" sizeWithCells="1">
                  <from>
                    <xdr:col>23</xdr:col>
                    <xdr:colOff>28575</xdr:colOff>
                    <xdr:row>12</xdr:row>
                    <xdr:rowOff>66675</xdr:rowOff>
                  </from>
                  <to>
                    <xdr:col>27</xdr:col>
                    <xdr:colOff>142875</xdr:colOff>
                    <xdr:row>17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10" name="Button 25">
              <controlPr defaultSize="0" print="0" autoFill="0" autoPict="0" macro="[0]!sortierenTrophäen">
                <anchor moveWithCells="1" sizeWithCells="1">
                  <from>
                    <xdr:col>23</xdr:col>
                    <xdr:colOff>38100</xdr:colOff>
                    <xdr:row>31</xdr:row>
                    <xdr:rowOff>28575</xdr:rowOff>
                  </from>
                  <to>
                    <xdr:col>27</xdr:col>
                    <xdr:colOff>152400</xdr:colOff>
                    <xdr:row>36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11" name="Button 26">
              <controlPr defaultSize="0" print="0" autoFill="0" autoPict="0" macro="[0]!PDFExport">
                <anchor moveWithCells="1" sizeWithCells="1">
                  <from>
                    <xdr:col>23</xdr:col>
                    <xdr:colOff>38100</xdr:colOff>
                    <xdr:row>37</xdr:row>
                    <xdr:rowOff>76200</xdr:rowOff>
                  </from>
                  <to>
                    <xdr:col>27</xdr:col>
                    <xdr:colOff>152400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12" name="Button 27">
              <controlPr defaultSize="0" print="0" autoFill="0" autoPict="0" macro="[0]!sortierenGespendet">
                <anchor moveWithCells="1" sizeWithCells="1">
                  <from>
                    <xdr:col>23</xdr:col>
                    <xdr:colOff>28575</xdr:colOff>
                    <xdr:row>18</xdr:row>
                    <xdr:rowOff>95250</xdr:rowOff>
                  </from>
                  <to>
                    <xdr:col>27</xdr:col>
                    <xdr:colOff>142875</xdr:colOff>
                    <xdr:row>23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13" name="Button 28">
              <controlPr defaultSize="0" print="0" autoFill="0" autoPict="0" macro="[0]!sortierenSpendenErhalten">
                <anchor moveWithCells="1" sizeWithCells="1">
                  <from>
                    <xdr:col>23</xdr:col>
                    <xdr:colOff>38100</xdr:colOff>
                    <xdr:row>24</xdr:row>
                    <xdr:rowOff>104775</xdr:rowOff>
                  </from>
                  <to>
                    <xdr:col>27</xdr:col>
                    <xdr:colOff>152400</xdr:colOff>
                    <xdr:row>29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14" name="Button 29">
              <controlPr defaultSize="0" print="0" autoFill="0" autoPict="0" macro="[0]!sortierenSpendenbudget">
                <anchor moveWithCells="1" sizeWithCells="1">
                  <from>
                    <xdr:col>27</xdr:col>
                    <xdr:colOff>304800</xdr:colOff>
                    <xdr:row>12</xdr:row>
                    <xdr:rowOff>66675</xdr:rowOff>
                  </from>
                  <to>
                    <xdr:col>30</xdr:col>
                    <xdr:colOff>342900</xdr:colOff>
                    <xdr:row>17</xdr:row>
                    <xdr:rowOff>85725</xdr:rowOff>
                  </to>
                </anchor>
              </controlPr>
            </control>
          </mc:Choice>
        </mc:AlternateContent>
      </controls>
    </mc:Choice>
  </mc:AlternateContent>
  <tableParts count="1">
    <tablePart r:id="rId15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777DE34-CC14-4AB7-8FCF-1ED17BB381A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I54:W1048576 I2:W3 I20:W52 I4:S19 U4:W19</xm:sqref>
        </x14:conditionalFormatting>
        <x14:conditionalFormatting xmlns:xm="http://schemas.microsoft.com/office/excel/2006/main">
          <x14:cfRule type="dataBar" id="{64EF39A5-7341-45AB-B918-FA806AC61AA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I3:W3 I20:W52 I4:S19 U4:W19</xm:sqref>
        </x14:conditionalFormatting>
        <x14:conditionalFormatting xmlns:xm="http://schemas.microsoft.com/office/excel/2006/main">
          <x14:cfRule type="dataBar" id="{43078F9A-76D1-4D75-804D-97CAA8BA423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I13</xm:sqref>
        </x14:conditionalFormatting>
        <x14:conditionalFormatting xmlns:xm="http://schemas.microsoft.com/office/excel/2006/main">
          <x14:cfRule type="dataBar" id="{D93691E6-DB82-48B2-8BB0-9457F055BEA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I1:I1048576</xm:sqref>
        </x14:conditionalFormatting>
        <x14:conditionalFormatting xmlns:xm="http://schemas.microsoft.com/office/excel/2006/main">
          <x14:cfRule type="dataBar" id="{2BF2E778-FB9C-4D40-8387-E477ADEB325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T4:T19</xm:sqref>
        </x14:conditionalFormatting>
        <x14:conditionalFormatting xmlns:xm="http://schemas.microsoft.com/office/excel/2006/main">
          <x14:cfRule type="dataBar" id="{52AFEE8D-6307-49D5-A277-22D2ADD512B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T4:T19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BC890A-8517-436E-8E4B-27628BCD338F}">
  <dimension ref="A1"/>
  <sheetViews>
    <sheetView workbookViewId="0"/>
  </sheetViews>
  <sheetFormatPr baseColWidth="10" defaultRowHeight="15" x14ac:dyDescent="0.25"/>
  <sheetData/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2</vt:i4>
      </vt:variant>
      <vt:variant>
        <vt:lpstr>Benannte Bereiche</vt:lpstr>
      </vt:variant>
      <vt:variant>
        <vt:i4>2</vt:i4>
      </vt:variant>
    </vt:vector>
  </HeadingPairs>
  <TitlesOfParts>
    <vt:vector size="4" baseType="lpstr">
      <vt:lpstr>Clanübersicht</vt:lpstr>
      <vt:lpstr>CKL</vt:lpstr>
      <vt:lpstr>APIurl</vt:lpstr>
      <vt:lpstr>Clanübersicht!Druckbereich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Patrick Waitz</dc:creator>
  <cp:lastModifiedBy>p.waitz@gmx.de</cp:lastModifiedBy>
  <cp:lastPrinted>2021-04-08T18:53:29Z</cp:lastPrinted>
  <dcterms:created xsi:type="dcterms:W3CDTF">2006-09-16T00:00:00Z</dcterms:created>
  <dcterms:modified xsi:type="dcterms:W3CDTF">2023-01-02T14:22:58Z</dcterms:modified>
</cp:coreProperties>
</file>