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240" yWindow="105" windowWidth="14805" windowHeight="8010"/>
  </bookViews>
  <sheets>
    <sheet name="Clanübersicht" sheetId="1" r:id="rId1"/>
    <sheet name="Tabelle1" sheetId="2" r:id="rId2"/>
    <sheet name="CKL" sheetId="4" r:id="rId3"/>
  </sheets>
  <functionGroups builtInGroupCount="17"/>
  <definedNames>
    <definedName name="_xlnm._FilterDatabase" localSheetId="2" hidden="1">CKL!$A$2:$I$56</definedName>
    <definedName name="_xlnm._FilterDatabase" localSheetId="0" hidden="1">Clanübersicht!$A$2:$I$56</definedName>
    <definedName name="APIurl" localSheetId="2">CKL!$AC$4</definedName>
    <definedName name="APIurl">Clanübersicht!$AB$4</definedName>
    <definedName name="_xlnm.Print_Area" localSheetId="2">CKL!$A$1:$J$53</definedName>
    <definedName name="_xlnm.Print_Area" localSheetId="0">Clanübersicht!$A$1:$J$53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2" i="4" l="1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L53" i="4"/>
  <c r="J52" i="4"/>
  <c r="I52" i="4"/>
  <c r="J51" i="4"/>
  <c r="I51" i="4"/>
  <c r="J50" i="4"/>
  <c r="I50" i="4"/>
  <c r="J35" i="4"/>
  <c r="I35" i="4"/>
  <c r="J34" i="4"/>
  <c r="I34" i="4"/>
  <c r="J49" i="4"/>
  <c r="I49" i="4"/>
  <c r="J48" i="4"/>
  <c r="I48" i="4"/>
  <c r="J47" i="4"/>
  <c r="I47" i="4"/>
  <c r="J32" i="4"/>
  <c r="I32" i="4"/>
  <c r="J31" i="4"/>
  <c r="I31" i="4"/>
  <c r="J30" i="4"/>
  <c r="I30" i="4"/>
  <c r="J33" i="4"/>
  <c r="I33" i="4"/>
  <c r="J46" i="4"/>
  <c r="I46" i="4"/>
  <c r="J29" i="4"/>
  <c r="I29" i="4"/>
  <c r="J45" i="4"/>
  <c r="I45" i="4"/>
  <c r="J24" i="4"/>
  <c r="I24" i="4"/>
  <c r="J28" i="4"/>
  <c r="I28" i="4"/>
  <c r="J22" i="4"/>
  <c r="I22" i="4"/>
  <c r="J44" i="4"/>
  <c r="I44" i="4"/>
  <c r="J43" i="4"/>
  <c r="I43" i="4"/>
  <c r="J27" i="4"/>
  <c r="I27" i="4"/>
  <c r="J42" i="4"/>
  <c r="I42" i="4"/>
  <c r="J41" i="4"/>
  <c r="I41" i="4"/>
  <c r="J21" i="4"/>
  <c r="I21" i="4"/>
  <c r="J25" i="4"/>
  <c r="I25" i="4"/>
  <c r="J26" i="4"/>
  <c r="I26" i="4"/>
  <c r="J23" i="4"/>
  <c r="I23" i="4"/>
  <c r="J19" i="4"/>
  <c r="I19" i="4"/>
  <c r="J40" i="4"/>
  <c r="I40" i="4"/>
  <c r="J39" i="4"/>
  <c r="I39" i="4"/>
  <c r="J38" i="4"/>
  <c r="I38" i="4"/>
  <c r="J17" i="4"/>
  <c r="I17" i="4"/>
  <c r="J18" i="4"/>
  <c r="I18" i="4"/>
  <c r="J37" i="4"/>
  <c r="I37" i="4"/>
  <c r="J16" i="4"/>
  <c r="I16" i="4"/>
  <c r="J14" i="4"/>
  <c r="I14" i="4"/>
  <c r="J20" i="4"/>
  <c r="I20" i="4"/>
  <c r="J13" i="4"/>
  <c r="I13" i="4"/>
  <c r="J36" i="4"/>
  <c r="I36" i="4"/>
  <c r="J10" i="4"/>
  <c r="I10" i="4"/>
  <c r="J15" i="4"/>
  <c r="I15" i="4"/>
  <c r="J12" i="4"/>
  <c r="I12" i="4"/>
  <c r="J11" i="4"/>
  <c r="I11" i="4"/>
  <c r="J9" i="4"/>
  <c r="I9" i="4"/>
  <c r="J7" i="4"/>
  <c r="I7" i="4"/>
  <c r="J5" i="4"/>
  <c r="I5" i="4"/>
  <c r="J8" i="4"/>
  <c r="I8" i="4"/>
  <c r="J4" i="4"/>
  <c r="I4" i="4"/>
  <c r="J3" i="4"/>
  <c r="I3" i="4"/>
  <c r="J6" i="4"/>
  <c r="I6" i="4"/>
  <c r="J1" i="4"/>
  <c r="J42" i="1"/>
  <c r="J21" i="1"/>
  <c r="J40" i="1"/>
  <c r="J37" i="1"/>
  <c r="J4" i="1"/>
  <c r="J3" i="1"/>
  <c r="J47" i="1"/>
  <c r="J26" i="1"/>
  <c r="J30" i="1"/>
  <c r="J35" i="1"/>
  <c r="J6" i="1"/>
  <c r="J5" i="1"/>
  <c r="J22" i="1"/>
  <c r="J52" i="1"/>
  <c r="J8" i="1"/>
  <c r="J44" i="1"/>
  <c r="J32" i="1"/>
  <c r="J19" i="1"/>
  <c r="J39" i="1"/>
  <c r="J36" i="1"/>
  <c r="J15" i="1"/>
  <c r="J45" i="1"/>
  <c r="J46" i="1"/>
  <c r="J11" i="1"/>
  <c r="J24" i="1"/>
  <c r="J38" i="1"/>
  <c r="J25" i="1"/>
  <c r="J18" i="1"/>
  <c r="J49" i="1"/>
  <c r="J20" i="1"/>
  <c r="J41" i="1"/>
  <c r="J27" i="1"/>
  <c r="J17" i="1"/>
  <c r="J51" i="1"/>
  <c r="J9" i="1"/>
  <c r="J7" i="1"/>
  <c r="J33" i="1"/>
  <c r="J10" i="1"/>
  <c r="J16" i="1"/>
  <c r="J14" i="1"/>
  <c r="J50" i="1"/>
  <c r="J29" i="1"/>
  <c r="J48" i="1"/>
  <c r="J43" i="1"/>
  <c r="J34" i="1"/>
  <c r="J23" i="1"/>
  <c r="J12" i="1"/>
  <c r="J13" i="1"/>
  <c r="J28" i="1"/>
  <c r="J31" i="1"/>
  <c r="J1" i="1"/>
  <c r="I7" i="1"/>
  <c r="I23" i="1"/>
  <c r="I27" i="1"/>
  <c r="I47" i="1"/>
  <c r="I45" i="1"/>
  <c r="I41" i="1"/>
  <c r="I14" i="1"/>
  <c r="I5" i="1"/>
  <c r="I6" i="1"/>
  <c r="I3" i="1"/>
  <c r="I19" i="1"/>
  <c r="I24" i="1"/>
  <c r="I29" i="1"/>
  <c r="I43" i="1"/>
  <c r="I50" i="1"/>
  <c r="I12" i="1"/>
  <c r="I51" i="1"/>
  <c r="I49" i="1"/>
  <c r="I17" i="1"/>
  <c r="I22" i="1"/>
  <c r="I46" i="1"/>
  <c r="I31" i="1"/>
  <c r="I20" i="1"/>
  <c r="I21" i="1"/>
  <c r="I39" i="1"/>
  <c r="I9" i="1"/>
  <c r="I26" i="1"/>
  <c r="I18" i="1"/>
  <c r="I44" i="1"/>
  <c r="I4" i="1"/>
  <c r="I11" i="1"/>
  <c r="I10" i="1"/>
  <c r="I33" i="1"/>
  <c r="I15" i="1"/>
  <c r="I16" i="1"/>
  <c r="I37" i="1"/>
  <c r="I36" i="1"/>
  <c r="I32" i="1"/>
  <c r="I8" i="1"/>
  <c r="I42" i="1"/>
  <c r="I48" i="1"/>
  <c r="I30" i="1"/>
  <c r="I25" i="1"/>
  <c r="I38" i="1"/>
  <c r="I35" i="1"/>
  <c r="I52" i="1"/>
  <c r="I34" i="1"/>
  <c r="I13" i="1"/>
  <c r="I28" i="1"/>
  <c r="I40" i="1"/>
</calcChain>
</file>

<file path=xl/comments1.xml><?xml version="1.0" encoding="utf-8"?>
<comments xmlns="http://schemas.openxmlformats.org/spreadsheetml/2006/main">
  <authors>
    <author>Autor</author>
  </authors>
  <commentList>
    <comment ref="A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A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sharedStrings.xml><?xml version="1.0" encoding="utf-8"?>
<sst xmlns="http://schemas.openxmlformats.org/spreadsheetml/2006/main" count="255" uniqueCount="94">
  <si>
    <t>Name</t>
  </si>
  <si>
    <t>Spendenverhältnis</t>
  </si>
  <si>
    <t>Spenden erhalten</t>
  </si>
  <si>
    <t>Datenquelle JSON</t>
  </si>
  <si>
    <t>Clanseite</t>
  </si>
  <si>
    <t>INFO:</t>
  </si>
  <si>
    <t>Clanübersichtsliste &amp; Spendenverhältnis</t>
  </si>
  <si>
    <t>Trophäen</t>
  </si>
  <si>
    <t>Gespendet</t>
  </si>
  <si>
    <t>EP
Punkte</t>
  </si>
  <si>
    <t>Clan Rang Neu</t>
  </si>
  <si>
    <t>Clan Rang Bisher</t>
  </si>
  <si>
    <t>Rolle</t>
  </si>
  <si>
    <t>Spendenbudget</t>
  </si>
  <si>
    <r>
      <rPr>
        <b/>
        <sz val="11"/>
        <color theme="1"/>
        <rFont val="Calibri"/>
        <family val="2"/>
        <scheme val="minor"/>
      </rPr>
      <t>Clan Tag:</t>
    </r>
    <r>
      <rPr>
        <sz val="11"/>
        <color theme="1"/>
        <rFont val="Calibri"/>
        <family val="2"/>
        <scheme val="minor"/>
      </rPr>
      <t xml:space="preserve"> </t>
    </r>
  </si>
  <si>
    <t>admin</t>
  </si>
  <si>
    <t>member</t>
  </si>
  <si>
    <t>leader</t>
  </si>
  <si>
    <t>coLeader</t>
  </si>
  <si>
    <t>Asarius</t>
  </si>
  <si>
    <t>Beatle</t>
  </si>
  <si>
    <t>Thor</t>
  </si>
  <si>
    <t>Garun Windtotem</t>
  </si>
  <si>
    <t>seatro</t>
  </si>
  <si>
    <t>Stunnah</t>
  </si>
  <si>
    <t>flow</t>
  </si>
  <si>
    <t>Galerinnor</t>
  </si>
  <si>
    <t>Asaretto</t>
  </si>
  <si>
    <t>Avatar</t>
  </si>
  <si>
    <t>Julius</t>
  </si>
  <si>
    <t>Lord Mio</t>
  </si>
  <si>
    <t>TED-DADDY</t>
  </si>
  <si>
    <t>VQPVPJ09</t>
  </si>
  <si>
    <t>MeisterHo</t>
  </si>
  <si>
    <t>Finster KÃ¶nig</t>
  </si>
  <si>
    <t>Peer Knopfdruck</t>
  </si>
  <si>
    <t>Jurich</t>
  </si>
  <si>
    <t>CK 1 Angriff</t>
  </si>
  <si>
    <t>CK2 Angriff</t>
  </si>
  <si>
    <t>CK3 Angriff</t>
  </si>
  <si>
    <t>LOST ToToSpion</t>
  </si>
  <si>
    <t>vini TV</t>
  </si>
  <si>
    <t>Rush2Glory</t>
  </si>
  <si>
    <t>Jona</t>
  </si>
  <si>
    <t>sucuk mag berat</t>
  </si>
  <si>
    <t>MaxxaMTrasher</t>
  </si>
  <si>
    <t>Black &amp; White</t>
  </si>
  <si>
    <t>Niki</t>
  </si>
  <si>
    <t>Tom</t>
  </si>
  <si>
    <t>mahdi zakhoy</t>
  </si>
  <si>
    <t>Demon5</t>
  </si>
  <si>
    <t>NoOne</t>
  </si>
  <si>
    <t>Bick</t>
  </si>
  <si>
    <t>benka</t>
  </si>
  <si>
    <t>Laura</t>
  </si>
  <si>
    <t>Peter mit f</t>
  </si>
  <si>
    <t>M4ÃI</t>
  </si>
  <si>
    <t>benibluee</t>
  </si>
  <si>
    <t>Lisi</t>
  </si>
  <si>
    <t>GrrrrrrrX</t>
  </si>
  <si>
    <t>theNotorious</t>
  </si>
  <si>
    <t>Mailo</t>
  </si>
  <si>
    <t>Madara Uchiha</t>
  </si>
  <si>
    <t>Bomba Pro</t>
  </si>
  <si>
    <t>amit</t>
  </si>
  <si>
    <t>Aimbxt_Dano</t>
  </si>
  <si>
    <t>bulla</t>
  </si>
  <si>
    <t>Julian</t>
  </si>
  <si>
    <t>#EHRENMANN</t>
  </si>
  <si>
    <t>NightCF</t>
  </si>
  <si>
    <t>Elcheffe</t>
  </si>
  <si>
    <t xml:space="preserve">Vorschlag: </t>
  </si>
  <si>
    <t>Spendenregel ab RH 11  1/3</t>
  </si>
  <si>
    <t>OK</t>
  </si>
  <si>
    <t>CK4 Angriff</t>
  </si>
  <si>
    <t>CK5 Angriff</t>
  </si>
  <si>
    <t>CK6 Angriff</t>
  </si>
  <si>
    <t>CK7 Angriff</t>
  </si>
  <si>
    <t>raus</t>
  </si>
  <si>
    <t>CKL rank</t>
  </si>
  <si>
    <t>Spalte1</t>
  </si>
  <si>
    <t>Timâï¸</t>
  </si>
  <si>
    <t>jojoschnuppe</t>
  </si>
  <si>
    <t>lureba</t>
  </si>
  <si>
    <t>uu</t>
  </si>
  <si>
    <t>sam</t>
  </si>
  <si>
    <t>Ben7580</t>
  </si>
  <si>
    <t>maxi05zockt</t>
  </si>
  <si>
    <t>mertdiyar</t>
  </si>
  <si>
    <t>Sternburg</t>
  </si>
  <si>
    <t>Herby second</t>
  </si>
  <si>
    <t>Denial</t>
  </si>
  <si>
    <t>Jack 2</t>
  </si>
  <si>
    <t>niemand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</si>
</sst>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€_-;\-* #,##0.00\ _€_-;_-* &quot;-&quot;??\ _€_-;_-@_-"/>
    <numFmt numFmtId="164" formatCode="_-* #,##0\ _€_-;\-* #,##0\ _€_-;_-* &quot;-&quot;??\ _€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rgb="FF01AF37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4"/>
      <color rgb="FF0000FF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52">
    <xf numFmtId="0" fontId="0" fillId="0" borderId="0" xfId="0"/>
    <xf numFmtId="9" fontId="0" fillId="0" borderId="0" xfId="1" applyFont="1"/>
    <xf numFmtId="0" fontId="2" fillId="0" borderId="0" xfId="0" applyFont="1"/>
    <xf numFmtId="0" fontId="0" fillId="0" borderId="0" xfId="0" applyFont="1" applyBorder="1"/>
    <xf numFmtId="0" fontId="0" fillId="0" borderId="0" xfId="0" applyFill="1"/>
    <xf numFmtId="0" fontId="0" fillId="0" borderId="0" xfId="0" applyFont="1" applyFill="1" applyBorder="1"/>
    <xf numFmtId="0" fontId="0" fillId="0" borderId="0" xfId="0" applyBorder="1"/>
    <xf numFmtId="9" fontId="0" fillId="0" borderId="0" xfId="1" applyFont="1" applyBorder="1"/>
    <xf numFmtId="0" fontId="0" fillId="0" borderId="0" xfId="0" applyFill="1" applyBorder="1"/>
    <xf numFmtId="9" fontId="0" fillId="0" borderId="0" xfId="0" applyNumberFormat="1" applyFont="1"/>
    <xf numFmtId="164" fontId="0" fillId="0" borderId="0" xfId="3" applyNumberFormat="1" applyFont="1" applyBorder="1"/>
    <xf numFmtId="164" fontId="0" fillId="0" borderId="0" xfId="3" applyNumberFormat="1" applyFont="1" applyFill="1" applyBorder="1"/>
    <xf numFmtId="164" fontId="0" fillId="0" borderId="0" xfId="3" applyNumberFormat="1" applyFont="1"/>
    <xf numFmtId="164" fontId="0" fillId="0" borderId="0" xfId="3" applyNumberFormat="1" applyFont="1" applyFill="1"/>
    <xf numFmtId="164" fontId="5" fillId="0" borderId="0" xfId="3" applyNumberFormat="1" applyFont="1" applyBorder="1"/>
    <xf numFmtId="164" fontId="5" fillId="0" borderId="0" xfId="3" applyNumberFormat="1" applyFont="1" applyFill="1" applyBorder="1"/>
    <xf numFmtId="164" fontId="0" fillId="0" borderId="0" xfId="0" applyNumberFormat="1" applyFont="1"/>
    <xf numFmtId="14" fontId="0" fillId="0" borderId="0" xfId="0" applyNumberFormat="1"/>
    <xf numFmtId="14" fontId="6" fillId="0" borderId="0" xfId="0" applyNumberFormat="1" applyFont="1" applyAlignment="1"/>
    <xf numFmtId="0" fontId="7" fillId="3" borderId="0" xfId="0" applyFont="1" applyFill="1" applyBorder="1" applyAlignment="1">
      <alignment wrapText="1"/>
    </xf>
    <xf numFmtId="164" fontId="7" fillId="3" borderId="0" xfId="3" applyNumberFormat="1" applyFont="1" applyFill="1" applyBorder="1" applyAlignment="1">
      <alignment wrapText="1"/>
    </xf>
    <xf numFmtId="9" fontId="7" fillId="3" borderId="0" xfId="1" applyNumberFormat="1" applyFont="1" applyFill="1" applyBorder="1" applyAlignment="1">
      <alignment wrapText="1"/>
    </xf>
    <xf numFmtId="164" fontId="7" fillId="3" borderId="1" xfId="3" applyNumberFormat="1" applyFont="1" applyFill="1" applyBorder="1" applyAlignment="1">
      <alignment wrapText="1"/>
    </xf>
    <xf numFmtId="14" fontId="6" fillId="0" borderId="0" xfId="0" applyNumberFormat="1" applyFont="1" applyFill="1" applyAlignment="1"/>
    <xf numFmtId="164" fontId="7" fillId="0" borderId="0" xfId="3" applyNumberFormat="1" applyFont="1" applyFill="1" applyBorder="1" applyAlignment="1">
      <alignment wrapText="1"/>
    </xf>
    <xf numFmtId="164" fontId="0" fillId="0" borderId="0" xfId="0" applyNumberFormat="1" applyFont="1" applyFill="1"/>
    <xf numFmtId="0" fontId="2" fillId="0" borderId="2" xfId="0" applyFont="1" applyBorder="1"/>
    <xf numFmtId="0" fontId="0" fillId="0" borderId="3" xfId="0" applyBorder="1"/>
    <xf numFmtId="0" fontId="0" fillId="0" borderId="5" xfId="0" applyBorder="1"/>
    <xf numFmtId="0" fontId="3" fillId="2" borderId="4" xfId="2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4" borderId="7" xfId="0" applyFill="1" applyBorder="1"/>
    <xf numFmtId="0" fontId="0" fillId="0" borderId="0" xfId="0" applyFont="1"/>
    <xf numFmtId="0" fontId="0" fillId="0" borderId="8" xfId="0" applyBorder="1"/>
    <xf numFmtId="0" fontId="10" fillId="5" borderId="8" xfId="0" applyFont="1" applyFill="1" applyBorder="1"/>
    <xf numFmtId="0" fontId="2" fillId="0" borderId="0" xfId="0" applyFont="1" applyFill="1"/>
    <xf numFmtId="0" fontId="0" fillId="6" borderId="0" xfId="0" applyFill="1"/>
    <xf numFmtId="164" fontId="0" fillId="6" borderId="0" xfId="3" applyNumberFormat="1" applyFont="1" applyFill="1" applyBorder="1"/>
    <xf numFmtId="164" fontId="0" fillId="7" borderId="0" xfId="3" applyNumberFormat="1" applyFont="1" applyFill="1" applyBorder="1"/>
    <xf numFmtId="9" fontId="0" fillId="0" borderId="0" xfId="1" applyFont="1" applyFill="1" applyBorder="1"/>
    <xf numFmtId="0" fontId="2" fillId="0" borderId="2" xfId="0" applyFont="1" applyFill="1" applyBorder="1"/>
    <xf numFmtId="0" fontId="0" fillId="0" borderId="3" xfId="0" applyFill="1" applyBorder="1"/>
    <xf numFmtId="0" fontId="3" fillId="0" borderId="4" xfId="2" applyFill="1" applyBorder="1" applyAlignment="1">
      <alignment horizontal="right"/>
    </xf>
    <xf numFmtId="0" fontId="0" fillId="0" borderId="5" xfId="0" applyFill="1" applyBorder="1"/>
    <xf numFmtId="0" fontId="0" fillId="0" borderId="6" xfId="0" applyFill="1" applyBorder="1" applyAlignment="1">
      <alignment horizontal="right"/>
    </xf>
    <xf numFmtId="0" fontId="0" fillId="0" borderId="7" xfId="0" applyFill="1" applyBorder="1"/>
    <xf numFmtId="0" fontId="0" fillId="7" borderId="0" xfId="0" applyFill="1"/>
    <xf numFmtId="0" fontId="0" fillId="7" borderId="0" xfId="0" applyFill="1" applyBorder="1"/>
    <xf numFmtId="0" fontId="0" fillId="8" borderId="0" xfId="0" applyFill="1"/>
    <xf numFmtId="0" fontId="0" fillId="9" borderId="0" xfId="0" applyFill="1"/>
    <xf numFmtId="0" fontId="2" fillId="10" borderId="0" xfId="0" applyFont="1" applyFill="1"/>
    <xf numFmtId="0" fontId="4" fillId="0" borderId="0" xfId="0" applyFont="1" applyAlignment="1">
      <alignment horizontal="center"/>
    </xf>
  </cellXfs>
  <cellStyles count="4">
    <cellStyle name="Hyperlink" xfId="2" builtinId="8"/>
    <cellStyle name="Komma" xfId="3" builtinId="3"/>
    <cellStyle name="Prozent" xfId="1" builtinId="5"/>
    <cellStyle name="Standard" xfId="0" builtinId="0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/>
        <strike val="0"/>
        <outline val="0"/>
        <shadow val="0"/>
        <u val="none"/>
        <vertAlign val="baseline"/>
        <sz val="11"/>
        <color rgb="FF01AF37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</dxf>
    <dxf>
      <border outline="0">
        <top style="thin">
          <color rgb="FF8064A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* #,##0\ _€_-;\-* #,##0\ _€_-;_-* &quot;-&quot;??\ _€_-;_-@_-"/>
    </dxf>
    <dxf>
      <font>
        <b/>
        <strike val="0"/>
        <outline val="0"/>
        <shadow val="0"/>
        <u val="none"/>
        <vertAlign val="baseline"/>
        <sz val="11"/>
        <color rgb="FF01AF37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</dxf>
    <dxf>
      <border outline="0"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color auto="1"/>
      </font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double">
          <color auto="1"/>
        </top>
        <bottom style="medium">
          <color auto="1"/>
        </bottom>
      </border>
    </dxf>
    <dxf>
      <font>
        <b/>
        <i val="0"/>
        <color rgb="FF2800D0"/>
      </font>
      <fill>
        <patternFill>
          <bgColor theme="7" tint="0.59996337778862885"/>
        </patternFill>
      </fill>
      <border>
        <bottom style="medium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Medium9">
    <tableStyle name="Tabellenformat 1" pivot="0" count="4">
      <tableStyleElement type="wholeTable" dxfId="71"/>
      <tableStyleElement type="headerRow" dxfId="70"/>
      <tableStyleElement type="totalRow" dxfId="69"/>
      <tableStyleElement type="firstRowStripe" dxfId="68"/>
    </tableStyle>
  </tableStyles>
  <colors>
    <mruColors>
      <color rgb="FF0066FF"/>
      <color rgb="FF01AF37"/>
      <color rgb="FF2800D0"/>
      <color rgb="FF2AF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</xdr:row>
          <xdr:rowOff>0</xdr:rowOff>
        </xdr:from>
        <xdr:to>
          <xdr:col>26</xdr:col>
          <xdr:colOff>123825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7</xdr:row>
          <xdr:rowOff>0</xdr:rowOff>
        </xdr:from>
        <xdr:to>
          <xdr:col>26</xdr:col>
          <xdr:colOff>142875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12</xdr:row>
          <xdr:rowOff>66675</xdr:rowOff>
        </xdr:from>
        <xdr:to>
          <xdr:col>26</xdr:col>
          <xdr:colOff>142875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31</xdr:row>
          <xdr:rowOff>28575</xdr:rowOff>
        </xdr:from>
        <xdr:to>
          <xdr:col>26</xdr:col>
          <xdr:colOff>152400</xdr:colOff>
          <xdr:row>36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37</xdr:row>
          <xdr:rowOff>76200</xdr:rowOff>
        </xdr:from>
        <xdr:to>
          <xdr:col>26</xdr:col>
          <xdr:colOff>152400</xdr:colOff>
          <xdr:row>42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18</xdr:row>
          <xdr:rowOff>95250</xdr:rowOff>
        </xdr:from>
        <xdr:to>
          <xdr:col>26</xdr:col>
          <xdr:colOff>142875</xdr:colOff>
          <xdr:row>23</xdr:row>
          <xdr:rowOff>114300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24</xdr:row>
          <xdr:rowOff>104775</xdr:rowOff>
        </xdr:from>
        <xdr:to>
          <xdr:col>26</xdr:col>
          <xdr:colOff>152400</xdr:colOff>
          <xdr:row>29</xdr:row>
          <xdr:rowOff>123825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304800</xdr:colOff>
          <xdr:row>12</xdr:row>
          <xdr:rowOff>66675</xdr:rowOff>
        </xdr:from>
        <xdr:to>
          <xdr:col>29</xdr:col>
          <xdr:colOff>342900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</xdr:row>
          <xdr:rowOff>0</xdr:rowOff>
        </xdr:from>
        <xdr:to>
          <xdr:col>27</xdr:col>
          <xdr:colOff>123825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7</xdr:row>
          <xdr:rowOff>0</xdr:rowOff>
        </xdr:from>
        <xdr:to>
          <xdr:col>27</xdr:col>
          <xdr:colOff>142875</xdr:colOff>
          <xdr:row>10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12</xdr:row>
          <xdr:rowOff>66675</xdr:rowOff>
        </xdr:from>
        <xdr:to>
          <xdr:col>27</xdr:col>
          <xdr:colOff>142875</xdr:colOff>
          <xdr:row>17</xdr:row>
          <xdr:rowOff>85725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31</xdr:row>
          <xdr:rowOff>28575</xdr:rowOff>
        </xdr:from>
        <xdr:to>
          <xdr:col>27</xdr:col>
          <xdr:colOff>152400</xdr:colOff>
          <xdr:row>36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37</xdr:row>
          <xdr:rowOff>76200</xdr:rowOff>
        </xdr:from>
        <xdr:to>
          <xdr:col>27</xdr:col>
          <xdr:colOff>152400</xdr:colOff>
          <xdr:row>42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18</xdr:row>
          <xdr:rowOff>95250</xdr:rowOff>
        </xdr:from>
        <xdr:to>
          <xdr:col>27</xdr:col>
          <xdr:colOff>142875</xdr:colOff>
          <xdr:row>23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24</xdr:row>
          <xdr:rowOff>104775</xdr:rowOff>
        </xdr:from>
        <xdr:to>
          <xdr:col>27</xdr:col>
          <xdr:colOff>152400</xdr:colOff>
          <xdr:row>29</xdr:row>
          <xdr:rowOff>123825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12</xdr:row>
          <xdr:rowOff>66675</xdr:rowOff>
        </xdr:from>
        <xdr:to>
          <xdr:col>30</xdr:col>
          <xdr:colOff>342900</xdr:colOff>
          <xdr:row>17</xdr:row>
          <xdr:rowOff>85725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2:Q53" totalsRowCount="1" headerRowDxfId="62" tableBorderDxfId="61">
  <autoFilter ref="A2:Q52"/>
  <sortState ref="A3:M52">
    <sortCondition descending="1" ref="D2:D52"/>
  </sortState>
  <tableColumns count="17">
    <tableColumn id="1" name="Name"/>
    <tableColumn id="2" name="Rolle"/>
    <tableColumn id="3" name="EP_x000a_Punkte"/>
    <tableColumn id="4" name="Trophäen" dataDxfId="60" totalsRowDxfId="10" dataCellStyle="Komma"/>
    <tableColumn id="5" name="Clan Rang Neu"/>
    <tableColumn id="6" name="Clan Rang Bisher"/>
    <tableColumn id="7" name="Gespendet" dataDxfId="59" totalsRowDxfId="9" dataCellStyle="Komma"/>
    <tableColumn id="8" name="Spenden erhalten" dataDxfId="58" totalsRowDxfId="8" dataCellStyle="Komma"/>
    <tableColumn id="9" name="Spendenverhältnis" dataDxfId="57" totalsRowDxfId="7" dataCellStyle="Prozent">
      <calculatedColumnFormula>IF(AND(Tabelle2[[#This Row],[Gespendet]]=0,Tabelle2[[#This Row],[Spenden erhalten]]=0),0,IF(AND(Tabelle2[[#This Row],[Gespendet]]&gt;0,Tabelle2[[#This Row],[Spenden erhalten]]=0),3,Tabelle2[[#This Row],[Gespendet]]/Tabelle2[[#This Row],[Spenden erhalten]]))</calculatedColumnFormula>
    </tableColumn>
    <tableColumn id="10" name="Spendenbudget" dataDxfId="56" totalsRowDxfId="6" dataCellStyle="Komma">
      <calculatedColumnFormula>IF(Tabelle2[[#This Row],[Gespendet]]*3-Tabelle2[[#This Row],[Spenden erhalten]]&gt;0,Tabelle2[[#This Row],[Gespendet]]*3-Tabelle2[[#This Row],[Spenden erhalten]],((Tabelle2[[#This Row],[Spenden erhalten]]/3)-Tabelle2[[#This Row],[Gespendet]])*(-1))</calculatedColumnFormula>
    </tableColumn>
    <tableColumn id="11" name="CK 1 Angriff" dataDxfId="55" totalsRowDxfId="5" dataCellStyle="Komma"/>
    <tableColumn id="12" name="CK2 Angriff" dataDxfId="54" totalsRowDxfId="4" dataCellStyle="Komma"/>
    <tableColumn id="16" name="CK3 Angriff" dataDxfId="53" totalsRowDxfId="3" dataCellStyle="Komma"/>
    <tableColumn id="15" name="CK4 Angriff" dataDxfId="52" totalsRowDxfId="2" dataCellStyle="Komma"/>
    <tableColumn id="14" name="CK5 Angriff" dataDxfId="51" totalsRowDxfId="1" dataCellStyle="Komma"/>
    <tableColumn id="17" name="CK6 Angriff" dataDxfId="50" totalsRowDxfId="0" dataCellStyle="Komma"/>
    <tableColumn id="13" name="CK7 Angriff" dataDxfId="49" dataCellStyle="Komma"/>
  </tableColumns>
  <tableStyleInfo name="Tabellenformat 1" showFirstColumn="0" showLastColumn="0" showRowStripes="1" showColumnStripes="0"/>
</table>
</file>

<file path=xl/tables/table2.xml><?xml version="1.0" encoding="utf-8"?>
<table xmlns="http://schemas.openxmlformats.org/spreadsheetml/2006/main" id="1" name="Tabelle22" displayName="Tabelle22" ref="A2:S53" totalsRowCount="1" headerRowDxfId="39" tableBorderDxfId="38">
  <autoFilter ref="A2:S52"/>
  <sortState ref="A3:R52">
    <sortCondition ref="K2:K52"/>
  </sortState>
  <tableColumns count="19">
    <tableColumn id="1" name="Name"/>
    <tableColumn id="2" name="Rolle"/>
    <tableColumn id="3" name="EP_x000a_Punkte"/>
    <tableColumn id="4" name="Trophäen" dataDxfId="37" totalsRowDxfId="36" dataCellStyle="Komma"/>
    <tableColumn id="5" name="Clan Rang Neu"/>
    <tableColumn id="6" name="Clan Rang Bisher"/>
    <tableColumn id="7" name="Gespendet" dataDxfId="35" totalsRowDxfId="34" dataCellStyle="Komma"/>
    <tableColumn id="8" name="Spenden erhalten" dataDxfId="33" totalsRowDxfId="32" dataCellStyle="Komma"/>
    <tableColumn id="9" name="Spendenverhältnis" dataDxfId="31" totalsRowDxfId="30" dataCellStyle="Prozent">
      <calculatedColumnFormula>IF(AND(Tabelle22[[#This Row],[Gespendet]]=0,Tabelle22[[#This Row],[Spenden erhalten]]=0),0,IF(AND(Tabelle22[[#This Row],[Gespendet]]&gt;0,Tabelle22[[#This Row],[Spenden erhalten]]=0),3,Tabelle22[[#This Row],[Gespendet]]/Tabelle22[[#This Row],[Spenden erhalten]]))</calculatedColumnFormula>
    </tableColumn>
    <tableColumn id="10" name="Spendenbudget" dataDxfId="29" totalsRowDxfId="28" dataCellStyle="Komma">
      <calculatedColumnFormula>IF(Tabelle22[[#This Row],[Gespendet]]*3-Tabelle22[[#This Row],[Spenden erhalten]]&gt;0,Tabelle22[[#This Row],[Gespendet]]*3-Tabelle22[[#This Row],[Spenden erhalten]],((Tabelle22[[#This Row],[Spenden erhalten]]/3)-Tabelle22[[#This Row],[Gespendet]])*(-1))</calculatedColumnFormula>
    </tableColumn>
    <tableColumn id="18" name="CKL rank" dataDxfId="27" totalsRowDxfId="26" dataCellStyle="Komma"/>
    <tableColumn id="11" name="CK 1 Angriff" totalsRowFunction="sum" dataDxfId="25" totalsRowDxfId="24" dataCellStyle="Komma"/>
    <tableColumn id="12" name="CK2 Angriff" dataDxfId="23" totalsRowDxfId="22" dataCellStyle="Komma"/>
    <tableColumn id="16" name="CK3 Angriff" dataDxfId="21" totalsRowDxfId="20" dataCellStyle="Komma"/>
    <tableColumn id="15" name="CK4 Angriff" dataDxfId="19" totalsRowDxfId="18" dataCellStyle="Komma"/>
    <tableColumn id="14" name="CK5 Angriff" dataDxfId="17" totalsRowDxfId="16" dataCellStyle="Komma"/>
    <tableColumn id="17" name="CK6 Angriff" dataDxfId="15" totalsRowDxfId="14" dataCellStyle="Komma"/>
    <tableColumn id="13" name="CK7 Angriff" dataDxfId="13" dataCellStyle="Komma"/>
    <tableColumn id="19" name="Spalte1" dataDxfId="12" totalsRowDxfId="11" dataCellStyle="Komma">
      <calculatedColumnFormula>SUM(Tabelle22[[#This Row],[CK 1 Angriff]:[CK7 Angriff]])</calculatedColumnFormula>
    </tableColumn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clashofclans.com/clans/search/" TargetMode="Externa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hyperlink" Target="https://clashofclans.com/clans/search/" TargetMode="Externa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vmlDrawing" Target="../drawings/vmlDrawing2.vml"/><Relationship Id="rId15" Type="http://schemas.openxmlformats.org/officeDocument/2006/relationships/comments" Target="../comments2.xml"/><Relationship Id="rId10" Type="http://schemas.openxmlformats.org/officeDocument/2006/relationships/ctrlProp" Target="../ctrlProps/ctrlProp13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12.xml"/><Relationship Id="rId1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lan">
    <pageSetUpPr fitToPage="1"/>
  </sheetPr>
  <dimension ref="A1:AD53"/>
  <sheetViews>
    <sheetView showGridLines="0" tabSelected="1" zoomScaleNormal="100" workbookViewId="0">
      <selection activeCell="C3" sqref="C3"/>
    </sheetView>
  </sheetViews>
  <sheetFormatPr baseColWidth="10" defaultColWidth="9.140625" defaultRowHeight="15" x14ac:dyDescent="0.25"/>
  <cols>
    <col min="1" max="1" width="20.85546875" customWidth="1"/>
    <col min="2" max="2" width="9" bestFit="1" customWidth="1"/>
    <col min="3" max="3" width="8" bestFit="1" customWidth="1"/>
    <col min="4" max="4" width="11" style="12" bestFit="1" customWidth="1"/>
    <col min="5" max="5" width="10.85546875" customWidth="1"/>
    <col min="6" max="6" width="11.85546875" bestFit="1" customWidth="1"/>
    <col min="7" max="7" width="16.28515625" style="12" customWidth="1"/>
    <col min="8" max="8" width="14.5703125" style="12" customWidth="1"/>
    <col min="9" max="9" width="20.140625" style="1" bestFit="1" customWidth="1"/>
    <col min="10" max="10" width="20.140625" style="12" customWidth="1"/>
    <col min="11" max="17" width="20.140625" style="12" hidden="1" customWidth="1"/>
    <col min="18" max="21" width="7" style="12" customWidth="1"/>
    <col min="22" max="22" width="6.85546875" style="13" customWidth="1"/>
    <col min="28" max="28" width="17.140625" bestFit="1" customWidth="1"/>
    <col min="29" max="29" width="11" bestFit="1" customWidth="1"/>
    <col min="30" max="30" width="12.5703125" bestFit="1" customWidth="1"/>
  </cols>
  <sheetData>
    <row r="1" spans="1:30" ht="36" x14ac:dyDescent="0.55000000000000004">
      <c r="A1" s="51" t="s">
        <v>6</v>
      </c>
      <c r="B1" s="51"/>
      <c r="C1" s="51"/>
      <c r="D1" s="51"/>
      <c r="E1" s="51"/>
      <c r="F1" s="51"/>
      <c r="G1" s="51"/>
      <c r="H1" s="51"/>
      <c r="I1" s="51"/>
      <c r="J1" s="18">
        <f ca="1">TODAY()</f>
        <v>44204</v>
      </c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23"/>
      <c r="AB1" s="17"/>
    </row>
    <row r="2" spans="1:30" s="2" customFormat="1" ht="30.75" thickBot="1" x14ac:dyDescent="0.3">
      <c r="A2" s="19" t="s">
        <v>0</v>
      </c>
      <c r="B2" s="19" t="s">
        <v>12</v>
      </c>
      <c r="C2" s="19" t="s">
        <v>9</v>
      </c>
      <c r="D2" s="20" t="s">
        <v>7</v>
      </c>
      <c r="E2" s="19" t="s">
        <v>10</v>
      </c>
      <c r="F2" s="19" t="s">
        <v>11</v>
      </c>
      <c r="G2" s="20" t="s">
        <v>8</v>
      </c>
      <c r="H2" s="20" t="s">
        <v>2</v>
      </c>
      <c r="I2" s="21" t="s">
        <v>1</v>
      </c>
      <c r="J2" s="22" t="s">
        <v>13</v>
      </c>
      <c r="K2" s="22" t="s">
        <v>37</v>
      </c>
      <c r="L2" s="22" t="s">
        <v>38</v>
      </c>
      <c r="M2" s="22" t="s">
        <v>39</v>
      </c>
      <c r="N2" s="22" t="s">
        <v>74</v>
      </c>
      <c r="O2" s="22" t="s">
        <v>75</v>
      </c>
      <c r="P2" s="22" t="s">
        <v>76</v>
      </c>
      <c r="Q2" s="22" t="s">
        <v>77</v>
      </c>
      <c r="R2" s="20"/>
      <c r="S2" s="20"/>
      <c r="T2" s="20"/>
      <c r="U2" s="20"/>
      <c r="V2" s="24"/>
    </row>
    <row r="3" spans="1:30" x14ac:dyDescent="0.2">
      <c r="A3" t="s">
        <v>19</v>
      </c>
      <c r="B3" t="s">
        <v>18</v>
      </c>
      <c r="C3">
        <v>221</v>
      </c>
      <c r="D3" s="12">
        <v>5195</v>
      </c>
      <c r="E3">
        <v>1</v>
      </c>
      <c r="F3" s="6">
        <v>1</v>
      </c>
      <c r="G3" s="14">
        <v>3755</v>
      </c>
      <c r="H3" s="10">
        <v>2821</v>
      </c>
      <c r="I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1.3310882665721375</v>
      </c>
      <c r="J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8444</v>
      </c>
      <c r="K3" s="10">
        <v>2</v>
      </c>
      <c r="L3" s="10"/>
      <c r="M3" s="10"/>
      <c r="N3" s="10"/>
      <c r="O3" s="10"/>
      <c r="P3" s="10"/>
      <c r="Q3" s="10"/>
      <c r="R3" s="10"/>
      <c r="S3" s="10"/>
      <c r="T3" s="10"/>
      <c r="U3" s="10"/>
      <c r="V3" s="11"/>
      <c r="AB3" s="26" t="s">
        <v>5</v>
      </c>
      <c r="AC3" s="27"/>
      <c r="AD3" s="2"/>
    </row>
    <row r="4" spans="1:30" x14ac:dyDescent="0.2">
      <c r="A4" t="s">
        <v>33</v>
      </c>
      <c r="B4" t="s">
        <v>18</v>
      </c>
      <c r="C4">
        <v>194</v>
      </c>
      <c r="D4" s="12">
        <v>4820</v>
      </c>
      <c r="E4">
        <v>2</v>
      </c>
      <c r="F4" s="6">
        <v>2</v>
      </c>
      <c r="G4" s="14">
        <v>2642</v>
      </c>
      <c r="H4" s="10">
        <v>3163</v>
      </c>
      <c r="I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0.83528295921593421</v>
      </c>
      <c r="J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4763</v>
      </c>
      <c r="K4" s="10">
        <v>2</v>
      </c>
      <c r="L4" s="10"/>
      <c r="M4" s="10"/>
      <c r="N4" s="10"/>
      <c r="O4" s="10"/>
      <c r="P4" s="10"/>
      <c r="Q4" s="10"/>
      <c r="R4" s="10"/>
      <c r="S4" s="10"/>
      <c r="T4" s="10"/>
      <c r="U4" s="10"/>
      <c r="V4" s="11"/>
      <c r="AB4" s="29" t="s">
        <v>3</v>
      </c>
      <c r="AC4" s="28"/>
      <c r="AD4" s="2"/>
    </row>
    <row r="5" spans="1:30" x14ac:dyDescent="0.2">
      <c r="A5" t="s">
        <v>22</v>
      </c>
      <c r="B5" t="s">
        <v>17</v>
      </c>
      <c r="C5">
        <v>176</v>
      </c>
      <c r="D5" s="12">
        <v>4770</v>
      </c>
      <c r="E5">
        <v>3</v>
      </c>
      <c r="F5" s="6">
        <v>3</v>
      </c>
      <c r="G5" s="14">
        <v>2676</v>
      </c>
      <c r="H5" s="10">
        <v>2603</v>
      </c>
      <c r="I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1.0280445639646563</v>
      </c>
      <c r="J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5425</v>
      </c>
      <c r="K5" s="10">
        <v>2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1"/>
      <c r="AB5" s="29" t="s">
        <v>4</v>
      </c>
      <c r="AC5" s="28"/>
    </row>
    <row r="6" spans="1:30" ht="15.75" thickBot="1" x14ac:dyDescent="0.25">
      <c r="A6" t="s">
        <v>20</v>
      </c>
      <c r="B6" t="s">
        <v>18</v>
      </c>
      <c r="C6">
        <v>212</v>
      </c>
      <c r="D6" s="12">
        <v>4536</v>
      </c>
      <c r="E6">
        <v>4</v>
      </c>
      <c r="F6" s="6">
        <v>4</v>
      </c>
      <c r="G6" s="14">
        <v>2061</v>
      </c>
      <c r="H6" s="10">
        <v>861</v>
      </c>
      <c r="I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2.3937282229965158</v>
      </c>
      <c r="J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5322</v>
      </c>
      <c r="K6" s="10">
        <v>2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1"/>
      <c r="AB6" s="30" t="s">
        <v>14</v>
      </c>
      <c r="AC6" s="31" t="s">
        <v>32</v>
      </c>
    </row>
    <row r="7" spans="1:30" x14ac:dyDescent="0.2">
      <c r="A7" t="s">
        <v>21</v>
      </c>
      <c r="B7" t="s">
        <v>15</v>
      </c>
      <c r="C7">
        <v>187</v>
      </c>
      <c r="D7" s="12">
        <v>4120</v>
      </c>
      <c r="E7">
        <v>5</v>
      </c>
      <c r="F7" s="6">
        <v>5</v>
      </c>
      <c r="G7" s="14">
        <v>601</v>
      </c>
      <c r="H7" s="10">
        <v>308</v>
      </c>
      <c r="I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1.9512987012987013</v>
      </c>
      <c r="J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1495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1"/>
    </row>
    <row r="8" spans="1:30" x14ac:dyDescent="0.2">
      <c r="A8" s="4" t="s">
        <v>27</v>
      </c>
      <c r="B8" s="4" t="s">
        <v>16</v>
      </c>
      <c r="C8" s="4">
        <v>167</v>
      </c>
      <c r="D8" s="13">
        <v>4094</v>
      </c>
      <c r="E8" s="4">
        <v>6</v>
      </c>
      <c r="F8" s="8">
        <v>6</v>
      </c>
      <c r="G8" s="15">
        <v>2472</v>
      </c>
      <c r="H8" s="11">
        <v>2944</v>
      </c>
      <c r="I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0.83967391304347827</v>
      </c>
      <c r="J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4472</v>
      </c>
      <c r="K8" s="10">
        <v>1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1"/>
    </row>
    <row r="9" spans="1:30" x14ac:dyDescent="0.25">
      <c r="A9" s="5" t="s">
        <v>34</v>
      </c>
      <c r="B9" s="5" t="s">
        <v>15</v>
      </c>
      <c r="C9" s="5">
        <v>157</v>
      </c>
      <c r="D9" s="11">
        <v>3629</v>
      </c>
      <c r="E9" s="5">
        <v>7</v>
      </c>
      <c r="F9" s="5">
        <v>7</v>
      </c>
      <c r="G9" s="15">
        <v>521</v>
      </c>
      <c r="H9" s="11">
        <v>1319</v>
      </c>
      <c r="I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0.39499620924943141</v>
      </c>
      <c r="J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244</v>
      </c>
      <c r="K9" s="10">
        <v>2</v>
      </c>
      <c r="L9" s="10"/>
      <c r="M9" s="10"/>
      <c r="N9" s="10"/>
      <c r="O9" s="10"/>
      <c r="P9" s="10"/>
      <c r="Q9" s="10"/>
      <c r="R9" s="10"/>
      <c r="S9" s="10"/>
      <c r="T9" s="10"/>
      <c r="U9" s="10"/>
      <c r="V9" s="11"/>
    </row>
    <row r="10" spans="1:30" x14ac:dyDescent="0.2">
      <c r="A10" t="s">
        <v>35</v>
      </c>
      <c r="B10" t="s">
        <v>15</v>
      </c>
      <c r="C10">
        <v>143</v>
      </c>
      <c r="D10" s="12">
        <v>3495</v>
      </c>
      <c r="E10">
        <v>8</v>
      </c>
      <c r="F10" s="6">
        <v>9</v>
      </c>
      <c r="G10" s="14">
        <v>760</v>
      </c>
      <c r="H10" s="10">
        <v>505</v>
      </c>
      <c r="I1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1.504950495049505</v>
      </c>
      <c r="J1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1775</v>
      </c>
      <c r="K10" s="10">
        <v>0</v>
      </c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1"/>
    </row>
    <row r="11" spans="1:30" x14ac:dyDescent="0.25">
      <c r="A11" t="s">
        <v>23</v>
      </c>
      <c r="B11" t="s">
        <v>18</v>
      </c>
      <c r="C11">
        <v>174</v>
      </c>
      <c r="D11" s="12">
        <v>3485</v>
      </c>
      <c r="E11">
        <v>9</v>
      </c>
      <c r="F11" s="6">
        <v>8</v>
      </c>
      <c r="G11" s="14">
        <v>1357</v>
      </c>
      <c r="H11" s="10">
        <v>1195</v>
      </c>
      <c r="I1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1.1355648535564853</v>
      </c>
      <c r="J1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2876</v>
      </c>
      <c r="K11" s="10">
        <v>2</v>
      </c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1"/>
    </row>
    <row r="12" spans="1:30" x14ac:dyDescent="0.2">
      <c r="A12" t="s">
        <v>24</v>
      </c>
      <c r="B12" t="s">
        <v>15</v>
      </c>
      <c r="C12">
        <v>156</v>
      </c>
      <c r="D12" s="12">
        <v>3375</v>
      </c>
      <c r="E12">
        <v>10</v>
      </c>
      <c r="F12" s="6">
        <v>10</v>
      </c>
      <c r="G12" s="14">
        <v>128</v>
      </c>
      <c r="H12" s="10">
        <v>0</v>
      </c>
      <c r="I1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384</v>
      </c>
      <c r="K12" s="10">
        <v>1</v>
      </c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1"/>
    </row>
    <row r="13" spans="1:30" x14ac:dyDescent="0.2">
      <c r="A13" s="8" t="s">
        <v>28</v>
      </c>
      <c r="B13" s="8" t="s">
        <v>18</v>
      </c>
      <c r="C13" s="8">
        <v>160</v>
      </c>
      <c r="D13" s="11">
        <v>3302</v>
      </c>
      <c r="E13" s="8">
        <v>11</v>
      </c>
      <c r="F13" s="8">
        <v>11</v>
      </c>
      <c r="G13" s="15">
        <v>42</v>
      </c>
      <c r="H13" s="11">
        <v>0</v>
      </c>
      <c r="I1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126</v>
      </c>
      <c r="K13" s="10">
        <v>2</v>
      </c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1"/>
    </row>
    <row r="14" spans="1:30" x14ac:dyDescent="0.2">
      <c r="A14" t="s">
        <v>25</v>
      </c>
      <c r="B14" t="s">
        <v>15</v>
      </c>
      <c r="C14">
        <v>157</v>
      </c>
      <c r="D14" s="12">
        <v>3202</v>
      </c>
      <c r="E14">
        <v>12</v>
      </c>
      <c r="F14" s="6">
        <v>12</v>
      </c>
      <c r="G14" s="14">
        <v>2372</v>
      </c>
      <c r="H14" s="10">
        <v>968</v>
      </c>
      <c r="I1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2.450413223140496</v>
      </c>
      <c r="J1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6148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1"/>
    </row>
    <row r="15" spans="1:30" x14ac:dyDescent="0.25">
      <c r="A15" s="6" t="s">
        <v>81</v>
      </c>
      <c r="B15" s="6" t="s">
        <v>16</v>
      </c>
      <c r="C15" s="6">
        <v>149</v>
      </c>
      <c r="D15" s="10">
        <v>3110</v>
      </c>
      <c r="E15" s="6">
        <v>13</v>
      </c>
      <c r="F15" s="6">
        <v>13</v>
      </c>
      <c r="G15" s="14">
        <v>126</v>
      </c>
      <c r="H15" s="10">
        <v>412</v>
      </c>
      <c r="I1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0.30582524271844658</v>
      </c>
      <c r="J1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-11.333333333333343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1"/>
    </row>
    <row r="16" spans="1:30" x14ac:dyDescent="0.2">
      <c r="A16" t="s">
        <v>50</v>
      </c>
      <c r="B16" t="s">
        <v>16</v>
      </c>
      <c r="C16">
        <v>109</v>
      </c>
      <c r="D16" s="12">
        <v>3048</v>
      </c>
      <c r="E16">
        <v>14</v>
      </c>
      <c r="F16" s="6">
        <v>14</v>
      </c>
      <c r="G16" s="14">
        <v>91</v>
      </c>
      <c r="H16" s="10">
        <v>1003</v>
      </c>
      <c r="I1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9.072781655034895E-2</v>
      </c>
      <c r="J1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-243.33333333333331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1"/>
    </row>
    <row r="17" spans="1:22" x14ac:dyDescent="0.2">
      <c r="A17" t="s">
        <v>36</v>
      </c>
      <c r="B17" t="s">
        <v>15</v>
      </c>
      <c r="C17">
        <v>127</v>
      </c>
      <c r="D17" s="12">
        <v>3001</v>
      </c>
      <c r="E17">
        <v>15</v>
      </c>
      <c r="F17" s="6">
        <v>15</v>
      </c>
      <c r="G17" s="14">
        <v>470</v>
      </c>
      <c r="H17" s="10">
        <v>0</v>
      </c>
      <c r="I1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1410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1"/>
    </row>
    <row r="18" spans="1:22" x14ac:dyDescent="0.2">
      <c r="A18" s="4" t="s">
        <v>82</v>
      </c>
      <c r="B18" s="4" t="s">
        <v>16</v>
      </c>
      <c r="C18" s="4">
        <v>132</v>
      </c>
      <c r="D18" s="13">
        <v>2781</v>
      </c>
      <c r="E18" s="4">
        <v>16</v>
      </c>
      <c r="F18" s="8">
        <v>16</v>
      </c>
      <c r="G18" s="15">
        <v>0</v>
      </c>
      <c r="H18" s="11">
        <v>66</v>
      </c>
      <c r="I1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1"/>
    </row>
    <row r="19" spans="1:22" x14ac:dyDescent="0.2">
      <c r="A19" t="s">
        <v>29</v>
      </c>
      <c r="B19" t="s">
        <v>16</v>
      </c>
      <c r="C19">
        <v>145</v>
      </c>
      <c r="D19" s="12">
        <v>2704</v>
      </c>
      <c r="E19">
        <v>17</v>
      </c>
      <c r="F19" s="6">
        <v>17</v>
      </c>
      <c r="G19" s="14">
        <v>60</v>
      </c>
      <c r="H19" s="10">
        <v>201</v>
      </c>
      <c r="I1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0.29850746268656714</v>
      </c>
      <c r="J1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-7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1"/>
    </row>
    <row r="20" spans="1:22" x14ac:dyDescent="0.2">
      <c r="A20" t="s">
        <v>26</v>
      </c>
      <c r="B20" t="s">
        <v>16</v>
      </c>
      <c r="C20">
        <v>149</v>
      </c>
      <c r="D20" s="12">
        <v>2575</v>
      </c>
      <c r="E20">
        <v>18</v>
      </c>
      <c r="F20" s="6">
        <v>18</v>
      </c>
      <c r="G20" s="14">
        <v>0</v>
      </c>
      <c r="H20" s="10">
        <v>0</v>
      </c>
      <c r="I2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0" s="10">
        <v>1</v>
      </c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1"/>
    </row>
    <row r="21" spans="1:22" x14ac:dyDescent="0.2">
      <c r="A21" s="6" t="s">
        <v>29</v>
      </c>
      <c r="B21" s="6" t="s">
        <v>15</v>
      </c>
      <c r="C21" s="6">
        <v>152</v>
      </c>
      <c r="D21" s="10">
        <v>2567</v>
      </c>
      <c r="E21" s="6">
        <v>19</v>
      </c>
      <c r="F21" s="6">
        <v>19</v>
      </c>
      <c r="G21" s="14">
        <v>308</v>
      </c>
      <c r="H21" s="10">
        <v>202</v>
      </c>
      <c r="I2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1.5247524752475248</v>
      </c>
      <c r="J2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722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1"/>
    </row>
    <row r="22" spans="1:22" x14ac:dyDescent="0.2">
      <c r="A22" t="s">
        <v>89</v>
      </c>
      <c r="B22" t="s">
        <v>16</v>
      </c>
      <c r="C22">
        <v>91</v>
      </c>
      <c r="D22" s="12">
        <v>2454</v>
      </c>
      <c r="E22">
        <v>20</v>
      </c>
      <c r="F22" s="6">
        <v>0</v>
      </c>
      <c r="G22" s="14">
        <v>0</v>
      </c>
      <c r="H22" s="10">
        <v>132</v>
      </c>
      <c r="I2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-44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1"/>
    </row>
    <row r="23" spans="1:22" x14ac:dyDescent="0.2">
      <c r="A23" s="6" t="s">
        <v>90</v>
      </c>
      <c r="B23" s="6" t="s">
        <v>16</v>
      </c>
      <c r="C23" s="6">
        <v>124</v>
      </c>
      <c r="D23" s="10">
        <v>2448</v>
      </c>
      <c r="E23" s="6">
        <v>21</v>
      </c>
      <c r="F23" s="6">
        <v>0</v>
      </c>
      <c r="G23" s="14">
        <v>0</v>
      </c>
      <c r="H23" s="10">
        <v>66</v>
      </c>
      <c r="I2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1"/>
    </row>
    <row r="24" spans="1:22" x14ac:dyDescent="0.25">
      <c r="A24" t="s">
        <v>91</v>
      </c>
      <c r="B24" t="s">
        <v>16</v>
      </c>
      <c r="C24">
        <v>138</v>
      </c>
      <c r="D24" s="12">
        <v>2379</v>
      </c>
      <c r="E24">
        <v>22</v>
      </c>
      <c r="F24" s="6">
        <v>0</v>
      </c>
      <c r="G24" s="14">
        <v>0</v>
      </c>
      <c r="H24" s="10">
        <v>66</v>
      </c>
      <c r="I2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1"/>
    </row>
    <row r="25" spans="1:22" x14ac:dyDescent="0.25">
      <c r="A25" t="s">
        <v>41</v>
      </c>
      <c r="B25" t="s">
        <v>16</v>
      </c>
      <c r="C25">
        <v>112</v>
      </c>
      <c r="D25" s="12">
        <v>2285</v>
      </c>
      <c r="E25">
        <v>23</v>
      </c>
      <c r="F25" s="6">
        <v>20</v>
      </c>
      <c r="G25" s="14">
        <v>0</v>
      </c>
      <c r="H25" s="10">
        <v>61</v>
      </c>
      <c r="I2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-20.333333333333332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1"/>
    </row>
    <row r="26" spans="1:22" x14ac:dyDescent="0.25">
      <c r="A26" t="s">
        <v>85</v>
      </c>
      <c r="B26" t="s">
        <v>16</v>
      </c>
      <c r="C26">
        <v>103</v>
      </c>
      <c r="D26" s="12">
        <v>2258</v>
      </c>
      <c r="E26">
        <v>24</v>
      </c>
      <c r="F26" s="6">
        <v>21</v>
      </c>
      <c r="G26" s="14">
        <v>1049</v>
      </c>
      <c r="H26" s="10">
        <v>1412</v>
      </c>
      <c r="I2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0.74291784702549579</v>
      </c>
      <c r="J2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1735</v>
      </c>
      <c r="K26" s="10">
        <v>0</v>
      </c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1"/>
    </row>
    <row r="27" spans="1:22" x14ac:dyDescent="0.25">
      <c r="A27" s="4" t="s">
        <v>60</v>
      </c>
      <c r="B27" s="4" t="s">
        <v>16</v>
      </c>
      <c r="C27" s="4">
        <v>97</v>
      </c>
      <c r="D27" s="13">
        <v>2226</v>
      </c>
      <c r="E27" s="4">
        <v>25</v>
      </c>
      <c r="F27" s="8">
        <v>22</v>
      </c>
      <c r="G27" s="15">
        <v>0</v>
      </c>
      <c r="H27" s="11">
        <v>366</v>
      </c>
      <c r="I2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-122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1"/>
    </row>
    <row r="28" spans="1:22" x14ac:dyDescent="0.25">
      <c r="A28" t="s">
        <v>92</v>
      </c>
      <c r="B28" t="s">
        <v>16</v>
      </c>
      <c r="C28">
        <v>101</v>
      </c>
      <c r="D28" s="12">
        <v>2211</v>
      </c>
      <c r="E28">
        <v>26</v>
      </c>
      <c r="F28" s="6">
        <v>23</v>
      </c>
      <c r="G28" s="14">
        <v>25</v>
      </c>
      <c r="H28" s="10">
        <v>66</v>
      </c>
      <c r="I2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0.37878787878787878</v>
      </c>
      <c r="J2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9</v>
      </c>
      <c r="K28" s="10">
        <v>0</v>
      </c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1"/>
    </row>
    <row r="29" spans="1:22" x14ac:dyDescent="0.25">
      <c r="A29" t="s">
        <v>93</v>
      </c>
      <c r="B29" t="s">
        <v>16</v>
      </c>
      <c r="C29">
        <v>111</v>
      </c>
      <c r="D29" s="12">
        <v>2125</v>
      </c>
      <c r="E29">
        <v>27</v>
      </c>
      <c r="F29" s="6">
        <v>0</v>
      </c>
      <c r="G29" s="14">
        <v>30</v>
      </c>
      <c r="H29" s="10">
        <v>0</v>
      </c>
      <c r="I2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2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90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1"/>
    </row>
    <row r="30" spans="1:22" x14ac:dyDescent="0.25">
      <c r="A30" s="3" t="s">
        <v>83</v>
      </c>
      <c r="B30" s="3" t="s">
        <v>16</v>
      </c>
      <c r="C30" s="3">
        <v>128</v>
      </c>
      <c r="D30" s="10">
        <v>2104</v>
      </c>
      <c r="E30" s="3">
        <v>28</v>
      </c>
      <c r="F30" s="3">
        <v>24</v>
      </c>
      <c r="G30" s="14">
        <v>2</v>
      </c>
      <c r="H30" s="10">
        <v>35</v>
      </c>
      <c r="I3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5.7142857142857141E-2</v>
      </c>
      <c r="J3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-9.6666666666666661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1"/>
    </row>
    <row r="31" spans="1:22" x14ac:dyDescent="0.25">
      <c r="A31" t="s">
        <v>86</v>
      </c>
      <c r="B31" t="s">
        <v>16</v>
      </c>
      <c r="C31">
        <v>94</v>
      </c>
      <c r="D31" s="12">
        <v>2065</v>
      </c>
      <c r="E31">
        <v>29</v>
      </c>
      <c r="F31" s="6">
        <v>25</v>
      </c>
      <c r="G31" s="14">
        <v>205</v>
      </c>
      <c r="H31" s="10">
        <v>787</v>
      </c>
      <c r="I3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0.2604828462515883</v>
      </c>
      <c r="J3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-57.333333333333314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1"/>
    </row>
    <row r="32" spans="1:22" x14ac:dyDescent="0.25">
      <c r="A32" s="6" t="s">
        <v>61</v>
      </c>
      <c r="B32" s="6" t="s">
        <v>16</v>
      </c>
      <c r="C32" s="6">
        <v>74</v>
      </c>
      <c r="D32" s="10">
        <v>2000</v>
      </c>
      <c r="E32" s="6">
        <v>30</v>
      </c>
      <c r="F32" s="6">
        <v>26</v>
      </c>
      <c r="G32" s="14">
        <v>0</v>
      </c>
      <c r="H32" s="10">
        <v>643</v>
      </c>
      <c r="I3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-214.33333333333334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1"/>
    </row>
    <row r="33" spans="1:22" x14ac:dyDescent="0.25">
      <c r="A33" t="s">
        <v>87</v>
      </c>
      <c r="B33" t="s">
        <v>16</v>
      </c>
      <c r="C33">
        <v>116</v>
      </c>
      <c r="D33" s="12">
        <v>1979</v>
      </c>
      <c r="E33">
        <v>31</v>
      </c>
      <c r="F33" s="6">
        <v>27</v>
      </c>
      <c r="G33" s="14">
        <v>238</v>
      </c>
      <c r="H33" s="10">
        <v>528</v>
      </c>
      <c r="I3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0.45075757575757575</v>
      </c>
      <c r="J3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186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1"/>
    </row>
    <row r="34" spans="1:22" x14ac:dyDescent="0.25">
      <c r="A34" t="s">
        <v>54</v>
      </c>
      <c r="B34" t="s">
        <v>16</v>
      </c>
      <c r="C34">
        <v>111</v>
      </c>
      <c r="D34" s="12">
        <v>1908</v>
      </c>
      <c r="E34">
        <v>32</v>
      </c>
      <c r="F34" s="6">
        <v>28</v>
      </c>
      <c r="G34" s="14">
        <v>0</v>
      </c>
      <c r="H34" s="10">
        <v>0</v>
      </c>
      <c r="I3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1"/>
    </row>
    <row r="35" spans="1:22" x14ac:dyDescent="0.25">
      <c r="A35" t="s">
        <v>52</v>
      </c>
      <c r="B35" t="s">
        <v>15</v>
      </c>
      <c r="C35">
        <v>178</v>
      </c>
      <c r="D35" s="12">
        <v>1904</v>
      </c>
      <c r="E35">
        <v>33</v>
      </c>
      <c r="F35" s="6">
        <v>30</v>
      </c>
      <c r="G35" s="14">
        <v>387</v>
      </c>
      <c r="H35" s="10">
        <v>137</v>
      </c>
      <c r="I3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2.8248175182481754</v>
      </c>
      <c r="J3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1024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1"/>
    </row>
    <row r="36" spans="1:22" x14ac:dyDescent="0.25">
      <c r="A36" t="s">
        <v>84</v>
      </c>
      <c r="B36" t="s">
        <v>16</v>
      </c>
      <c r="C36">
        <v>100</v>
      </c>
      <c r="D36" s="12">
        <v>1902</v>
      </c>
      <c r="E36">
        <v>34</v>
      </c>
      <c r="F36" s="6">
        <v>29</v>
      </c>
      <c r="G36" s="14">
        <v>0</v>
      </c>
      <c r="H36" s="10">
        <v>0</v>
      </c>
      <c r="I3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1"/>
    </row>
    <row r="37" spans="1:22" x14ac:dyDescent="0.25">
      <c r="A37" t="s">
        <v>88</v>
      </c>
      <c r="B37" t="s">
        <v>16</v>
      </c>
      <c r="C37">
        <v>118</v>
      </c>
      <c r="D37" s="12">
        <v>1841</v>
      </c>
      <c r="E37">
        <v>35</v>
      </c>
      <c r="F37" s="6">
        <v>31</v>
      </c>
      <c r="G37" s="14">
        <v>37</v>
      </c>
      <c r="H37" s="10">
        <v>96</v>
      </c>
      <c r="I3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0.38541666666666669</v>
      </c>
      <c r="J3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15</v>
      </c>
      <c r="K37" s="10">
        <v>1</v>
      </c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1"/>
    </row>
    <row r="38" spans="1:22" x14ac:dyDescent="0.25">
      <c r="A38" t="s">
        <v>45</v>
      </c>
      <c r="B38" t="s">
        <v>16</v>
      </c>
      <c r="C38">
        <v>112</v>
      </c>
      <c r="D38" s="12">
        <v>1772</v>
      </c>
      <c r="E38">
        <v>36</v>
      </c>
      <c r="F38" s="6">
        <v>32</v>
      </c>
      <c r="G38" s="14">
        <v>0</v>
      </c>
      <c r="H38" s="10">
        <v>0</v>
      </c>
      <c r="I3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1"/>
    </row>
    <row r="39" spans="1:22" x14ac:dyDescent="0.25">
      <c r="A39" s="4" t="s">
        <v>30</v>
      </c>
      <c r="B39" s="4" t="s">
        <v>18</v>
      </c>
      <c r="C39" s="4">
        <v>114</v>
      </c>
      <c r="D39" s="13">
        <v>1762</v>
      </c>
      <c r="E39" s="4">
        <v>37</v>
      </c>
      <c r="F39" s="8">
        <v>33</v>
      </c>
      <c r="G39" s="15">
        <v>0</v>
      </c>
      <c r="H39" s="11">
        <v>0</v>
      </c>
      <c r="I3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1"/>
    </row>
    <row r="40" spans="1:22" x14ac:dyDescent="0.25">
      <c r="A40" t="s">
        <v>57</v>
      </c>
      <c r="B40" t="s">
        <v>16</v>
      </c>
      <c r="C40">
        <v>91</v>
      </c>
      <c r="D40" s="12">
        <v>1635</v>
      </c>
      <c r="E40">
        <v>38</v>
      </c>
      <c r="F40" s="6">
        <v>34</v>
      </c>
      <c r="G40" s="14">
        <v>0</v>
      </c>
      <c r="H40" s="10">
        <v>0</v>
      </c>
      <c r="I4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1"/>
    </row>
    <row r="41" spans="1:22" x14ac:dyDescent="0.25">
      <c r="A41" s="6" t="s">
        <v>42</v>
      </c>
      <c r="B41" s="6" t="s">
        <v>16</v>
      </c>
      <c r="C41" s="6">
        <v>65</v>
      </c>
      <c r="D41" s="10">
        <v>1236</v>
      </c>
      <c r="E41" s="6">
        <v>39</v>
      </c>
      <c r="F41" s="6">
        <v>35</v>
      </c>
      <c r="G41" s="14">
        <v>0</v>
      </c>
      <c r="H41" s="10">
        <v>0</v>
      </c>
      <c r="I4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1"/>
    </row>
    <row r="42" spans="1:22" x14ac:dyDescent="0.25">
      <c r="A42" t="s">
        <v>31</v>
      </c>
      <c r="B42" t="s">
        <v>15</v>
      </c>
      <c r="C42">
        <v>100</v>
      </c>
      <c r="D42" s="12">
        <v>981</v>
      </c>
      <c r="E42">
        <v>40</v>
      </c>
      <c r="F42" s="6">
        <v>36</v>
      </c>
      <c r="G42" s="14">
        <v>738</v>
      </c>
      <c r="H42" s="10">
        <v>60</v>
      </c>
      <c r="I4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12.3</v>
      </c>
      <c r="J4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2154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1"/>
    </row>
    <row r="43" spans="1:22" x14ac:dyDescent="0.25">
      <c r="F43" s="6"/>
      <c r="G43" s="14"/>
      <c r="H43" s="10"/>
      <c r="I4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1"/>
    </row>
    <row r="44" spans="1:22" x14ac:dyDescent="0.25">
      <c r="F44" s="6"/>
      <c r="G44" s="14"/>
      <c r="H44" s="10"/>
      <c r="I4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1"/>
    </row>
    <row r="45" spans="1:22" x14ac:dyDescent="0.25">
      <c r="A45" s="8"/>
      <c r="B45" s="8"/>
      <c r="C45" s="8"/>
      <c r="D45" s="11"/>
      <c r="E45" s="8"/>
      <c r="F45" s="8"/>
      <c r="G45" s="15"/>
      <c r="H45" s="11"/>
      <c r="I4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1"/>
    </row>
    <row r="46" spans="1:22" x14ac:dyDescent="0.25">
      <c r="F46" s="6"/>
      <c r="G46" s="14"/>
      <c r="H46" s="10"/>
      <c r="I4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1"/>
    </row>
    <row r="47" spans="1:22" x14ac:dyDescent="0.25">
      <c r="A47" s="8"/>
      <c r="B47" s="8"/>
      <c r="C47" s="8"/>
      <c r="D47" s="11"/>
      <c r="E47" s="8"/>
      <c r="F47" s="8"/>
      <c r="G47" s="15"/>
      <c r="H47" s="11"/>
      <c r="I4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1"/>
    </row>
    <row r="48" spans="1:22" x14ac:dyDescent="0.25">
      <c r="F48" s="6"/>
      <c r="G48" s="14"/>
      <c r="H48" s="10"/>
      <c r="I4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1"/>
    </row>
    <row r="49" spans="1:22" x14ac:dyDescent="0.25">
      <c r="F49" s="6"/>
      <c r="G49" s="14"/>
      <c r="H49" s="10"/>
      <c r="I4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1"/>
    </row>
    <row r="50" spans="1:22" x14ac:dyDescent="0.25">
      <c r="F50" s="6"/>
      <c r="G50" s="14"/>
      <c r="H50" s="10"/>
      <c r="I5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1"/>
    </row>
    <row r="51" spans="1:22" x14ac:dyDescent="0.25">
      <c r="F51" s="6"/>
      <c r="G51" s="14"/>
      <c r="H51" s="10"/>
      <c r="I5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1"/>
    </row>
    <row r="52" spans="1:22" x14ac:dyDescent="0.25">
      <c r="A52" s="4"/>
      <c r="B52" s="4"/>
      <c r="C52" s="4"/>
      <c r="D52" s="13"/>
      <c r="E52" s="4"/>
      <c r="F52" s="8"/>
      <c r="G52" s="15"/>
      <c r="H52" s="11"/>
      <c r="I5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1"/>
    </row>
    <row r="53" spans="1:22" x14ac:dyDescent="0.25">
      <c r="D53" s="16"/>
      <c r="G53" s="16"/>
      <c r="H53" s="16"/>
      <c r="I53" s="9"/>
      <c r="J53" s="16"/>
      <c r="K53" s="32"/>
      <c r="L53" s="32"/>
      <c r="M53" s="32"/>
      <c r="N53" s="32"/>
      <c r="O53" s="32"/>
      <c r="P53" s="32"/>
      <c r="Q53"/>
      <c r="R53"/>
      <c r="S53"/>
      <c r="T53"/>
      <c r="U53"/>
      <c r="V53" s="25"/>
    </row>
  </sheetData>
  <sortState ref="A3:J52">
    <sortCondition descending="1" ref="G3"/>
  </sortState>
  <mergeCells count="1">
    <mergeCell ref="A1:I1"/>
  </mergeCells>
  <conditionalFormatting sqref="B3:B52">
    <cfRule type="beginsWith" dxfId="67" priority="3" operator="beginsWith" text="leader">
      <formula>LEFT(B3,LEN("leader"))="leader"</formula>
    </cfRule>
    <cfRule type="containsText" dxfId="66" priority="4" operator="containsText" text="coLeader">
      <formula>NOT(ISERROR(SEARCH("coLeader",B3)))</formula>
    </cfRule>
    <cfRule type="containsText" dxfId="65" priority="5" operator="containsText" text="admin">
      <formula>NOT(ISERROR(SEARCH("admin",B3)))</formula>
    </cfRule>
    <cfRule type="containsText" dxfId="64" priority="6" operator="containsText" text="member">
      <formula>NOT(ISERROR(SEARCH("member",B3)))</formula>
    </cfRule>
  </conditionalFormatting>
  <conditionalFormatting sqref="J3:V53">
    <cfRule type="cellIs" dxfId="63" priority="1" operator="lessThan">
      <formula>0</formula>
    </cfRule>
  </conditionalFormatting>
  <conditionalFormatting sqref="I54:V1048576 I2:V5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{2777DE34-CC14-4AB7-8FCF-1ED17BB381A0}</x14:id>
        </ext>
      </extLst>
    </cfRule>
  </conditionalFormatting>
  <conditionalFormatting sqref="I3:V52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{64EF39A5-7341-45AB-B918-FA806AC61AA2}</x14:id>
        </ext>
      </extLst>
    </cfRule>
  </conditionalFormatting>
  <hyperlinks>
    <hyperlink ref="AB4" r:id="rId1"/>
    <hyperlink ref="AB5" r:id="rId2" location="clanTag=VQPVPJ09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JSON">
                <anchor moveWithCells="1" sizeWithCells="1">
                  <from>
                    <xdr:col>22</xdr:col>
                    <xdr:colOff>19050</xdr:colOff>
                    <xdr:row>2</xdr:row>
                    <xdr:rowOff>0</xdr:rowOff>
                  </from>
                  <to>
                    <xdr:col>26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ClanListeLeeren">
                <anchor moveWithCells="1" sizeWithCells="1">
                  <from>
                    <xdr:col>22</xdr:col>
                    <xdr:colOff>28575</xdr:colOff>
                    <xdr:row>7</xdr:row>
                    <xdr:rowOff>0</xdr:rowOff>
                  </from>
                  <to>
                    <xdr:col>26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sortierenSpenden">
                <anchor moveWithCells="1" sizeWithCells="1">
                  <from>
                    <xdr:col>22</xdr:col>
                    <xdr:colOff>28575</xdr:colOff>
                    <xdr:row>12</xdr:row>
                    <xdr:rowOff>66675</xdr:rowOff>
                  </from>
                  <to>
                    <xdr:col>26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9" name="Button 25">
              <controlPr defaultSize="0" print="0" autoFill="0" autoPict="0" macro="[0]!sortierenTrophäen">
                <anchor moveWithCells="1" sizeWithCells="1">
                  <from>
                    <xdr:col>22</xdr:col>
                    <xdr:colOff>38100</xdr:colOff>
                    <xdr:row>31</xdr:row>
                    <xdr:rowOff>28575</xdr:rowOff>
                  </from>
                  <to>
                    <xdr:col>26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PDFExport">
                <anchor moveWithCells="1" sizeWithCells="1">
                  <from>
                    <xdr:col>22</xdr:col>
                    <xdr:colOff>38100</xdr:colOff>
                    <xdr:row>37</xdr:row>
                    <xdr:rowOff>76200</xdr:rowOff>
                  </from>
                  <to>
                    <xdr:col>26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Button 27">
              <controlPr defaultSize="0" print="0" autoFill="0" autoPict="0" macro="[0]!sortierenGespendet">
                <anchor moveWithCells="1" sizeWithCells="1">
                  <from>
                    <xdr:col>22</xdr:col>
                    <xdr:colOff>28575</xdr:colOff>
                    <xdr:row>18</xdr:row>
                    <xdr:rowOff>95250</xdr:rowOff>
                  </from>
                  <to>
                    <xdr:col>26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2" name="Button 28">
              <controlPr defaultSize="0" print="0" autoFill="0" autoPict="0" macro="[0]!sortierenSpendenErhalten">
                <anchor moveWithCells="1" sizeWithCells="1">
                  <from>
                    <xdr:col>22</xdr:col>
                    <xdr:colOff>38100</xdr:colOff>
                    <xdr:row>24</xdr:row>
                    <xdr:rowOff>104775</xdr:rowOff>
                  </from>
                  <to>
                    <xdr:col>26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3" name="Button 29">
              <controlPr defaultSize="0" print="0" autoFill="0" autoPict="0" macro="[0]!sortierenSpendenbudget">
                <anchor moveWithCells="1" sizeWithCells="1">
                  <from>
                    <xdr:col>26</xdr:col>
                    <xdr:colOff>304800</xdr:colOff>
                    <xdr:row>12</xdr:row>
                    <xdr:rowOff>66675</xdr:rowOff>
                  </from>
                  <to>
                    <xdr:col>29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77DE34-CC14-4AB7-8FCF-1ED17BB38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I54:V1048576 I2:V52</xm:sqref>
        </x14:conditionalFormatting>
        <x14:conditionalFormatting xmlns:xm="http://schemas.microsoft.com/office/excel/2006/main">
          <x14:cfRule type="dataBar" id="{64EF39A5-7341-45AB-B918-FA806AC61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I3:V52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8"/>
  <sheetViews>
    <sheetView workbookViewId="0">
      <selection activeCell="B7" sqref="B7"/>
    </sheetView>
  </sheetViews>
  <sheetFormatPr baseColWidth="10" defaultColWidth="10.7109375" defaultRowHeight="15" x14ac:dyDescent="0.25"/>
  <cols>
    <col min="1" max="1" width="25.28515625" bestFit="1" customWidth="1"/>
  </cols>
  <sheetData>
    <row r="1" spans="1:3" x14ac:dyDescent="0.2">
      <c r="A1" s="2" t="s">
        <v>71</v>
      </c>
    </row>
    <row r="2" spans="1:3" x14ac:dyDescent="0.2">
      <c r="A2" t="s">
        <v>72</v>
      </c>
    </row>
    <row r="4" spans="1:3" x14ac:dyDescent="0.2">
      <c r="A4" s="33" t="s">
        <v>19</v>
      </c>
      <c r="B4" s="33" t="s">
        <v>18</v>
      </c>
    </row>
    <row r="5" spans="1:3" x14ac:dyDescent="0.2">
      <c r="A5" s="34" t="s">
        <v>20</v>
      </c>
      <c r="B5" s="34" t="s">
        <v>18</v>
      </c>
      <c r="C5" t="s">
        <v>73</v>
      </c>
    </row>
    <row r="6" spans="1:3" x14ac:dyDescent="0.2">
      <c r="A6" s="33" t="s">
        <v>22</v>
      </c>
      <c r="B6" s="33" t="s">
        <v>18</v>
      </c>
      <c r="C6" t="s">
        <v>73</v>
      </c>
    </row>
    <row r="7" spans="1:3" x14ac:dyDescent="0.2">
      <c r="A7" s="34" t="s">
        <v>23</v>
      </c>
      <c r="B7" s="34" t="s">
        <v>18</v>
      </c>
    </row>
    <row r="8" spans="1:3" x14ac:dyDescent="0.2">
      <c r="A8" s="34" t="s">
        <v>28</v>
      </c>
      <c r="B8" s="34" t="s">
        <v>17</v>
      </c>
    </row>
  </sheetData>
  <conditionalFormatting sqref="B4:B8">
    <cfRule type="beginsWith" dxfId="48" priority="1" operator="beginsWith" text="leader">
      <formula>LEFT(B4,LEN("leader"))="leader"</formula>
    </cfRule>
    <cfRule type="containsText" dxfId="47" priority="2" operator="containsText" text="coLeader">
      <formula>NOT(ISERROR(SEARCH("coLeader",B4)))</formula>
    </cfRule>
    <cfRule type="containsText" dxfId="46" priority="3" operator="containsText" text="admin">
      <formula>NOT(ISERROR(SEARCH("admin",B4)))</formula>
    </cfRule>
    <cfRule type="containsText" dxfId="45" priority="4" operator="containsText" text="member">
      <formula>NOT(ISERROR(SEARCH("member",B4)))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lan1">
    <pageSetUpPr fitToPage="1"/>
  </sheetPr>
  <dimension ref="A1:AE53"/>
  <sheetViews>
    <sheetView showGridLines="0" topLeftCell="A4" zoomScaleNormal="100" workbookViewId="0">
      <selection activeCell="G16" sqref="G16"/>
    </sheetView>
  </sheetViews>
  <sheetFormatPr baseColWidth="10" defaultColWidth="9.140625" defaultRowHeight="15" x14ac:dyDescent="0.25"/>
  <cols>
    <col min="1" max="1" width="20.85546875" customWidth="1"/>
    <col min="2" max="2" width="9" bestFit="1" customWidth="1"/>
    <col min="3" max="3" width="8" bestFit="1" customWidth="1"/>
    <col min="4" max="4" width="11" style="12" bestFit="1" customWidth="1"/>
    <col min="5" max="5" width="10.85546875" customWidth="1"/>
    <col min="6" max="6" width="11.85546875" bestFit="1" customWidth="1"/>
    <col min="7" max="7" width="16.28515625" style="12" customWidth="1"/>
    <col min="8" max="8" width="14.5703125" style="12" customWidth="1"/>
    <col min="9" max="9" width="20.140625" style="1" bestFit="1" customWidth="1"/>
    <col min="10" max="11" width="20.140625" style="12" customWidth="1"/>
    <col min="12" max="12" width="14" style="12" bestFit="1" customWidth="1"/>
    <col min="13" max="18" width="13.5703125" style="12" bestFit="1" customWidth="1"/>
    <col min="19" max="22" width="7" style="12" customWidth="1"/>
    <col min="23" max="23" width="6.85546875" style="13" customWidth="1"/>
    <col min="29" max="29" width="17.140625" bestFit="1" customWidth="1"/>
    <col min="30" max="30" width="11" bestFit="1" customWidth="1"/>
    <col min="31" max="31" width="12.5703125" bestFit="1" customWidth="1"/>
  </cols>
  <sheetData>
    <row r="1" spans="1:31" ht="36" x14ac:dyDescent="0.55000000000000004">
      <c r="A1" s="51" t="s">
        <v>6</v>
      </c>
      <c r="B1" s="51"/>
      <c r="C1" s="51"/>
      <c r="D1" s="51"/>
      <c r="E1" s="51"/>
      <c r="F1" s="51"/>
      <c r="G1" s="51"/>
      <c r="H1" s="51"/>
      <c r="I1" s="51"/>
      <c r="J1" s="18">
        <f ca="1">TODAY()</f>
        <v>44204</v>
      </c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23"/>
      <c r="AC1" s="17"/>
    </row>
    <row r="2" spans="1:31" s="2" customFormat="1" ht="45.75" thickBot="1" x14ac:dyDescent="0.3">
      <c r="A2" s="19" t="s">
        <v>0</v>
      </c>
      <c r="B2" s="19" t="s">
        <v>12</v>
      </c>
      <c r="C2" s="19" t="s">
        <v>9</v>
      </c>
      <c r="D2" s="20" t="s">
        <v>7</v>
      </c>
      <c r="E2" s="19" t="s">
        <v>10</v>
      </c>
      <c r="F2" s="19" t="s">
        <v>11</v>
      </c>
      <c r="G2" s="20" t="s">
        <v>8</v>
      </c>
      <c r="H2" s="20" t="s">
        <v>2</v>
      </c>
      <c r="I2" s="21" t="s">
        <v>1</v>
      </c>
      <c r="J2" s="22" t="s">
        <v>13</v>
      </c>
      <c r="K2" s="22" t="s">
        <v>79</v>
      </c>
      <c r="L2" s="22" t="s">
        <v>37</v>
      </c>
      <c r="M2" s="22" t="s">
        <v>38</v>
      </c>
      <c r="N2" s="22" t="s">
        <v>39</v>
      </c>
      <c r="O2" s="22" t="s">
        <v>74</v>
      </c>
      <c r="P2" s="22" t="s">
        <v>75</v>
      </c>
      <c r="Q2" s="22" t="s">
        <v>76</v>
      </c>
      <c r="R2" s="22" t="s">
        <v>77</v>
      </c>
      <c r="S2" s="22" t="s">
        <v>80</v>
      </c>
      <c r="T2" s="20"/>
      <c r="U2" s="20"/>
      <c r="V2" s="20"/>
      <c r="W2" s="24"/>
    </row>
    <row r="3" spans="1:31" s="4" customFormat="1" x14ac:dyDescent="0.2">
      <c r="A3" s="35" t="s">
        <v>19</v>
      </c>
      <c r="B3" s="4" t="s">
        <v>18</v>
      </c>
      <c r="C3" s="4">
        <v>218</v>
      </c>
      <c r="D3" s="13">
        <v>4807</v>
      </c>
      <c r="E3" s="4">
        <v>2</v>
      </c>
      <c r="F3" s="8">
        <v>2</v>
      </c>
      <c r="G3" s="15">
        <v>2187</v>
      </c>
      <c r="H3" s="11">
        <v>1252</v>
      </c>
      <c r="I3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1.7468051118210863</v>
      </c>
      <c r="J3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5309</v>
      </c>
      <c r="K3" s="11">
        <v>1</v>
      </c>
      <c r="L3" s="11">
        <v>2</v>
      </c>
      <c r="M3" s="11">
        <v>2</v>
      </c>
      <c r="N3" s="11">
        <v>2</v>
      </c>
      <c r="O3" s="11">
        <v>1</v>
      </c>
      <c r="P3" s="11">
        <v>2</v>
      </c>
      <c r="Q3" s="11">
        <v>2</v>
      </c>
      <c r="R3" s="11">
        <v>2</v>
      </c>
      <c r="S3" s="11">
        <f>SUM(Tabelle22[[#This Row],[CK 1 Angriff]:[CK7 Angriff]])</f>
        <v>13</v>
      </c>
      <c r="T3" s="11"/>
      <c r="U3" s="11"/>
      <c r="V3" s="11"/>
      <c r="W3" s="11"/>
      <c r="AC3" s="40" t="s">
        <v>5</v>
      </c>
      <c r="AD3" s="41"/>
      <c r="AE3" s="35"/>
    </row>
    <row r="4" spans="1:31" s="4" customFormat="1" x14ac:dyDescent="0.2">
      <c r="A4" s="35" t="s">
        <v>20</v>
      </c>
      <c r="B4" s="4" t="s">
        <v>18</v>
      </c>
      <c r="C4" s="4">
        <v>208</v>
      </c>
      <c r="D4" s="13">
        <v>4599</v>
      </c>
      <c r="E4" s="4">
        <v>3</v>
      </c>
      <c r="F4" s="8">
        <v>3</v>
      </c>
      <c r="G4" s="15">
        <v>2593</v>
      </c>
      <c r="H4" s="11">
        <v>887</v>
      </c>
      <c r="I4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2.9233370913190528</v>
      </c>
      <c r="J4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6892</v>
      </c>
      <c r="K4" s="11">
        <v>2</v>
      </c>
      <c r="L4" s="11">
        <v>2</v>
      </c>
      <c r="M4" s="11">
        <v>3</v>
      </c>
      <c r="N4" s="11">
        <v>1</v>
      </c>
      <c r="O4" s="11">
        <v>3</v>
      </c>
      <c r="P4" s="11">
        <v>2</v>
      </c>
      <c r="Q4" s="11">
        <v>2</v>
      </c>
      <c r="R4" s="11">
        <v>2</v>
      </c>
      <c r="S4" s="11">
        <f>SUM(Tabelle22[[#This Row],[CK 1 Angriff]:[CK7 Angriff]])</f>
        <v>15</v>
      </c>
      <c r="T4" s="11"/>
      <c r="U4" s="11"/>
      <c r="V4" s="11"/>
      <c r="W4" s="11"/>
      <c r="AC4" s="42" t="s">
        <v>3</v>
      </c>
      <c r="AD4" s="43"/>
      <c r="AE4" s="35"/>
    </row>
    <row r="5" spans="1:31" s="4" customFormat="1" x14ac:dyDescent="0.2">
      <c r="A5" s="35" t="s">
        <v>21</v>
      </c>
      <c r="B5" s="4" t="s">
        <v>15</v>
      </c>
      <c r="C5" s="4">
        <v>183</v>
      </c>
      <c r="D5" s="13">
        <v>4197</v>
      </c>
      <c r="E5" s="4">
        <v>5</v>
      </c>
      <c r="F5" s="8">
        <v>5</v>
      </c>
      <c r="G5" s="15">
        <v>483</v>
      </c>
      <c r="H5" s="11">
        <v>508</v>
      </c>
      <c r="I5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0.95078740157480313</v>
      </c>
      <c r="J5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941</v>
      </c>
      <c r="K5" s="11">
        <v>3</v>
      </c>
      <c r="L5" s="38">
        <v>3</v>
      </c>
      <c r="M5" s="38"/>
      <c r="N5" s="11">
        <v>2</v>
      </c>
      <c r="O5" s="11">
        <v>3</v>
      </c>
      <c r="P5" s="11">
        <v>2</v>
      </c>
      <c r="Q5" s="11">
        <v>3</v>
      </c>
      <c r="R5" s="11">
        <v>3</v>
      </c>
      <c r="S5" s="11">
        <f>SUM(Tabelle22[[#This Row],[CK 1 Angriff]:[CK7 Angriff]])</f>
        <v>16</v>
      </c>
      <c r="T5" s="11"/>
      <c r="U5" s="11"/>
      <c r="V5" s="11"/>
      <c r="W5" s="11"/>
      <c r="AC5" s="42" t="s">
        <v>4</v>
      </c>
      <c r="AD5" s="43"/>
    </row>
    <row r="6" spans="1:31" s="4" customFormat="1" ht="15.75" thickBot="1" x14ac:dyDescent="0.25">
      <c r="A6" s="35" t="s">
        <v>33</v>
      </c>
      <c r="B6" s="4" t="s">
        <v>15</v>
      </c>
      <c r="C6" s="4">
        <v>188</v>
      </c>
      <c r="D6" s="13">
        <v>4940</v>
      </c>
      <c r="E6" s="4">
        <v>1</v>
      </c>
      <c r="F6" s="8">
        <v>1</v>
      </c>
      <c r="G6" s="15">
        <v>2448</v>
      </c>
      <c r="H6" s="11">
        <v>1981</v>
      </c>
      <c r="I6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1.2357395254921757</v>
      </c>
      <c r="J6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5363</v>
      </c>
      <c r="K6" s="11">
        <v>4</v>
      </c>
      <c r="L6" s="11">
        <v>2</v>
      </c>
      <c r="M6" s="11">
        <v>2</v>
      </c>
      <c r="N6" s="11">
        <v>2</v>
      </c>
      <c r="O6" s="11">
        <v>3</v>
      </c>
      <c r="P6" s="11">
        <v>3</v>
      </c>
      <c r="Q6" s="11">
        <v>2</v>
      </c>
      <c r="R6" s="11">
        <v>3</v>
      </c>
      <c r="S6" s="11">
        <f>SUM(Tabelle22[[#This Row],[CK 1 Angriff]:[CK7 Angriff]])</f>
        <v>17</v>
      </c>
      <c r="T6" s="11"/>
      <c r="U6" s="11"/>
      <c r="V6" s="11"/>
      <c r="W6" s="11"/>
      <c r="AC6" s="44" t="s">
        <v>14</v>
      </c>
      <c r="AD6" s="45" t="s">
        <v>32</v>
      </c>
    </row>
    <row r="7" spans="1:31" s="4" customFormat="1" x14ac:dyDescent="0.2">
      <c r="A7" s="35" t="s">
        <v>62</v>
      </c>
      <c r="B7" s="4" t="s">
        <v>16</v>
      </c>
      <c r="C7" s="4">
        <v>155</v>
      </c>
      <c r="D7" s="13">
        <v>3750</v>
      </c>
      <c r="E7" s="4">
        <v>6</v>
      </c>
      <c r="F7" s="8">
        <v>6</v>
      </c>
      <c r="G7" s="15">
        <v>3</v>
      </c>
      <c r="H7" s="11">
        <v>94</v>
      </c>
      <c r="I7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3.1914893617021274E-2</v>
      </c>
      <c r="J7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-28.333333333333332</v>
      </c>
      <c r="K7" s="11">
        <v>5</v>
      </c>
      <c r="L7" s="11">
        <v>1</v>
      </c>
      <c r="M7" s="11">
        <v>2</v>
      </c>
      <c r="N7" s="11">
        <v>3</v>
      </c>
      <c r="O7" s="38"/>
      <c r="P7" s="11">
        <v>3</v>
      </c>
      <c r="Q7" s="11">
        <v>2</v>
      </c>
      <c r="R7" s="11">
        <v>3</v>
      </c>
      <c r="S7" s="11">
        <f>SUM(Tabelle22[[#This Row],[CK 1 Angriff]:[CK7 Angriff]])</f>
        <v>14</v>
      </c>
      <c r="T7" s="11"/>
      <c r="U7" s="11"/>
      <c r="V7" s="11"/>
      <c r="W7" s="11"/>
    </row>
    <row r="8" spans="1:31" s="4" customFormat="1" x14ac:dyDescent="0.2">
      <c r="A8" s="35" t="s">
        <v>22</v>
      </c>
      <c r="B8" s="4" t="s">
        <v>18</v>
      </c>
      <c r="C8" s="4">
        <v>170</v>
      </c>
      <c r="D8" s="13">
        <v>4555</v>
      </c>
      <c r="E8" s="4">
        <v>4</v>
      </c>
      <c r="F8" s="8">
        <v>4</v>
      </c>
      <c r="G8" s="15">
        <v>2704</v>
      </c>
      <c r="H8" s="11">
        <v>1478</v>
      </c>
      <c r="I8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1.8294993234100134</v>
      </c>
      <c r="J8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6634</v>
      </c>
      <c r="K8" s="11">
        <v>6</v>
      </c>
      <c r="L8" s="11">
        <v>2</v>
      </c>
      <c r="M8" s="11">
        <v>2</v>
      </c>
      <c r="N8" s="11">
        <v>2</v>
      </c>
      <c r="O8" s="11">
        <v>3</v>
      </c>
      <c r="P8" s="11">
        <v>2</v>
      </c>
      <c r="Q8" s="11">
        <v>2</v>
      </c>
      <c r="R8" s="11">
        <v>2</v>
      </c>
      <c r="S8" s="11">
        <f>SUM(Tabelle22[[#This Row],[CK 1 Angriff]:[CK7 Angriff]])</f>
        <v>15</v>
      </c>
      <c r="T8" s="11"/>
      <c r="U8" s="11"/>
      <c r="V8" s="11"/>
      <c r="W8" s="11"/>
    </row>
    <row r="9" spans="1:31" s="4" customFormat="1" x14ac:dyDescent="0.2">
      <c r="A9" s="5" t="s">
        <v>24</v>
      </c>
      <c r="B9" s="5" t="s">
        <v>15</v>
      </c>
      <c r="C9" s="5">
        <v>153</v>
      </c>
      <c r="D9" s="11">
        <v>3606</v>
      </c>
      <c r="E9" s="5">
        <v>7</v>
      </c>
      <c r="F9" s="5">
        <v>7</v>
      </c>
      <c r="G9" s="15">
        <v>999</v>
      </c>
      <c r="H9" s="11">
        <v>336</v>
      </c>
      <c r="I9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2.9732142857142856</v>
      </c>
      <c r="J9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2661</v>
      </c>
      <c r="K9" s="11">
        <v>7</v>
      </c>
      <c r="L9" s="11">
        <v>2</v>
      </c>
      <c r="M9" s="11">
        <v>0</v>
      </c>
      <c r="N9" s="11">
        <v>1</v>
      </c>
      <c r="O9" s="11">
        <v>3</v>
      </c>
      <c r="P9" s="11">
        <v>2</v>
      </c>
      <c r="Q9" s="11">
        <v>2</v>
      </c>
      <c r="R9" s="11">
        <v>2</v>
      </c>
      <c r="S9" s="11">
        <f>SUM(Tabelle22[[#This Row],[CK 1 Angriff]:[CK7 Angriff]])</f>
        <v>12</v>
      </c>
      <c r="T9" s="11"/>
      <c r="U9" s="11"/>
      <c r="V9" s="11"/>
      <c r="W9" s="11"/>
    </row>
    <row r="10" spans="1:31" s="4" customFormat="1" x14ac:dyDescent="0.25">
      <c r="A10" s="8" t="s">
        <v>34</v>
      </c>
      <c r="B10" s="8" t="s">
        <v>15</v>
      </c>
      <c r="C10" s="8">
        <v>152</v>
      </c>
      <c r="D10" s="11">
        <v>3459</v>
      </c>
      <c r="E10" s="8">
        <v>11</v>
      </c>
      <c r="F10" s="8">
        <v>10</v>
      </c>
      <c r="G10" s="15">
        <v>820</v>
      </c>
      <c r="H10" s="11">
        <v>1365</v>
      </c>
      <c r="I10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0.60073260073260071</v>
      </c>
      <c r="J10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1095</v>
      </c>
      <c r="K10" s="11">
        <v>8</v>
      </c>
      <c r="L10" s="11">
        <v>2</v>
      </c>
      <c r="M10" s="11">
        <v>2</v>
      </c>
      <c r="N10" s="11">
        <v>2</v>
      </c>
      <c r="O10" s="11">
        <v>2</v>
      </c>
      <c r="P10" s="11">
        <v>1</v>
      </c>
      <c r="Q10" s="11">
        <v>3</v>
      </c>
      <c r="R10" s="11">
        <v>3</v>
      </c>
      <c r="S10" s="11">
        <f>SUM(Tabelle22[[#This Row],[CK 1 Angriff]:[CK7 Angriff]])</f>
        <v>15</v>
      </c>
      <c r="T10" s="11"/>
      <c r="U10" s="11"/>
      <c r="V10" s="11"/>
      <c r="W10" s="11"/>
    </row>
    <row r="11" spans="1:31" s="4" customFormat="1" x14ac:dyDescent="0.2">
      <c r="A11" s="4" t="s">
        <v>23</v>
      </c>
      <c r="B11" s="4" t="s">
        <v>18</v>
      </c>
      <c r="C11" s="4">
        <v>169</v>
      </c>
      <c r="D11" s="13">
        <v>3583</v>
      </c>
      <c r="E11" s="4">
        <v>8</v>
      </c>
      <c r="F11" s="8">
        <v>8</v>
      </c>
      <c r="G11" s="15">
        <v>932</v>
      </c>
      <c r="H11" s="11">
        <v>593</v>
      </c>
      <c r="I11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1.5716694772344013</v>
      </c>
      <c r="J11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2203</v>
      </c>
      <c r="K11" s="11">
        <v>9</v>
      </c>
      <c r="L11" s="11">
        <v>0</v>
      </c>
      <c r="M11" s="11">
        <v>0</v>
      </c>
      <c r="N11" s="11">
        <v>0</v>
      </c>
      <c r="O11" s="11">
        <v>2</v>
      </c>
      <c r="P11" s="11">
        <v>2</v>
      </c>
      <c r="Q11" s="11">
        <v>1</v>
      </c>
      <c r="R11" s="11">
        <v>2</v>
      </c>
      <c r="S11" s="11">
        <f>SUM(Tabelle22[[#This Row],[CK 1 Angriff]:[CK7 Angriff]])</f>
        <v>7</v>
      </c>
      <c r="T11" s="11"/>
      <c r="U11" s="11"/>
      <c r="V11" s="11"/>
      <c r="W11" s="11"/>
    </row>
    <row r="12" spans="1:31" s="4" customFormat="1" x14ac:dyDescent="0.2">
      <c r="A12" s="4" t="s">
        <v>27</v>
      </c>
      <c r="B12" s="4" t="s">
        <v>15</v>
      </c>
      <c r="C12" s="4">
        <v>161</v>
      </c>
      <c r="D12" s="13">
        <v>3519</v>
      </c>
      <c r="E12" s="4">
        <v>9</v>
      </c>
      <c r="F12" s="8">
        <v>9</v>
      </c>
      <c r="G12" s="15">
        <v>1158</v>
      </c>
      <c r="H12" s="11">
        <v>868</v>
      </c>
      <c r="I12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1.3341013824884793</v>
      </c>
      <c r="J12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2606</v>
      </c>
      <c r="K12" s="11">
        <v>10</v>
      </c>
      <c r="L12" s="11">
        <v>2</v>
      </c>
      <c r="M12" s="11">
        <v>2</v>
      </c>
      <c r="N12" s="11">
        <v>2</v>
      </c>
      <c r="O12" s="11">
        <v>2</v>
      </c>
      <c r="P12" s="11">
        <v>1</v>
      </c>
      <c r="Q12" s="11">
        <v>2</v>
      </c>
      <c r="R12" s="11">
        <v>2</v>
      </c>
      <c r="S12" s="11">
        <f>SUM(Tabelle22[[#This Row],[CK 1 Angriff]:[CK7 Angriff]])</f>
        <v>13</v>
      </c>
      <c r="T12" s="11"/>
      <c r="U12" s="11"/>
      <c r="V12" s="11"/>
      <c r="W12" s="11"/>
    </row>
    <row r="13" spans="1:31" s="4" customFormat="1" x14ac:dyDescent="0.2">
      <c r="A13" s="8" t="s">
        <v>25</v>
      </c>
      <c r="B13" s="8" t="s">
        <v>15</v>
      </c>
      <c r="C13" s="8">
        <v>151</v>
      </c>
      <c r="D13" s="11">
        <v>3154</v>
      </c>
      <c r="E13" s="8">
        <v>13</v>
      </c>
      <c r="F13" s="8">
        <v>13</v>
      </c>
      <c r="G13" s="15">
        <v>732</v>
      </c>
      <c r="H13" s="11">
        <v>469</v>
      </c>
      <c r="I13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1.5607675906183369</v>
      </c>
      <c r="J13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1727</v>
      </c>
      <c r="K13" s="11">
        <v>10</v>
      </c>
      <c r="L13" s="11">
        <v>0</v>
      </c>
      <c r="M13" s="11">
        <v>1</v>
      </c>
      <c r="N13" s="38"/>
      <c r="O13" s="11">
        <v>2</v>
      </c>
      <c r="P13" s="11">
        <v>2</v>
      </c>
      <c r="Q13" s="11">
        <v>2</v>
      </c>
      <c r="R13" s="11">
        <v>2</v>
      </c>
      <c r="S13" s="11">
        <f>SUM(Tabelle22[[#This Row],[CK 1 Angriff]:[CK7 Angriff]])</f>
        <v>9</v>
      </c>
      <c r="T13" s="11"/>
      <c r="U13" s="11"/>
      <c r="V13" s="11"/>
      <c r="W13" s="11"/>
    </row>
    <row r="14" spans="1:31" s="4" customFormat="1" x14ac:dyDescent="0.2">
      <c r="A14" s="4" t="s">
        <v>29</v>
      </c>
      <c r="B14" s="4" t="s">
        <v>16</v>
      </c>
      <c r="C14" s="4">
        <v>143</v>
      </c>
      <c r="D14" s="13">
        <v>3017</v>
      </c>
      <c r="E14" s="4">
        <v>15</v>
      </c>
      <c r="F14" s="8">
        <v>15</v>
      </c>
      <c r="G14" s="15">
        <v>458</v>
      </c>
      <c r="H14" s="11">
        <v>1074</v>
      </c>
      <c r="I14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0.42644320297951582</v>
      </c>
      <c r="J14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300</v>
      </c>
      <c r="K14" s="11">
        <v>11</v>
      </c>
      <c r="L14" s="11">
        <v>1</v>
      </c>
      <c r="M14" s="11">
        <v>3</v>
      </c>
      <c r="N14" s="38"/>
      <c r="O14" s="11">
        <v>3</v>
      </c>
      <c r="P14" s="11">
        <v>3</v>
      </c>
      <c r="Q14" s="11">
        <v>3</v>
      </c>
      <c r="R14" s="11">
        <v>2</v>
      </c>
      <c r="S14" s="11">
        <f>SUM(Tabelle22[[#This Row],[CK 1 Angriff]:[CK7 Angriff]])</f>
        <v>15</v>
      </c>
      <c r="T14" s="11"/>
      <c r="U14" s="11"/>
      <c r="V14" s="11"/>
      <c r="W14" s="11"/>
    </row>
    <row r="15" spans="1:31" s="4" customFormat="1" x14ac:dyDescent="0.2">
      <c r="A15" s="4" t="s">
        <v>28</v>
      </c>
      <c r="B15" s="4" t="s">
        <v>17</v>
      </c>
      <c r="C15" s="4">
        <v>156</v>
      </c>
      <c r="D15" s="13">
        <v>3460</v>
      </c>
      <c r="E15" s="4">
        <v>10</v>
      </c>
      <c r="F15" s="8">
        <v>11</v>
      </c>
      <c r="G15" s="15">
        <v>535</v>
      </c>
      <c r="H15" s="11">
        <v>201</v>
      </c>
      <c r="I15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2.6616915422885574</v>
      </c>
      <c r="J15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1404</v>
      </c>
      <c r="K15" s="11">
        <v>13</v>
      </c>
      <c r="L15" s="11">
        <v>1</v>
      </c>
      <c r="M15" s="11">
        <v>1</v>
      </c>
      <c r="N15" s="11">
        <v>2</v>
      </c>
      <c r="O15" s="11">
        <v>3</v>
      </c>
      <c r="P15" s="11">
        <v>0</v>
      </c>
      <c r="Q15" s="11">
        <v>2</v>
      </c>
      <c r="R15" s="11">
        <v>3</v>
      </c>
      <c r="S15" s="11">
        <f>SUM(Tabelle22[[#This Row],[CK 1 Angriff]:[CK7 Angriff]])</f>
        <v>12</v>
      </c>
      <c r="T15" s="11"/>
      <c r="U15" s="11"/>
      <c r="V15" s="11"/>
      <c r="W15" s="11"/>
    </row>
    <row r="16" spans="1:31" s="4" customFormat="1" x14ac:dyDescent="0.2">
      <c r="A16" s="50" t="s">
        <v>44</v>
      </c>
      <c r="B16" s="4" t="s">
        <v>15</v>
      </c>
      <c r="C16" s="4">
        <v>137</v>
      </c>
      <c r="D16" s="13">
        <v>2938</v>
      </c>
      <c r="E16" s="4">
        <v>16</v>
      </c>
      <c r="F16" s="8">
        <v>16</v>
      </c>
      <c r="G16" s="15">
        <v>609</v>
      </c>
      <c r="H16" s="11">
        <v>1202</v>
      </c>
      <c r="I16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0.50665557404326123</v>
      </c>
      <c r="J16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625</v>
      </c>
      <c r="K16" s="11">
        <v>14</v>
      </c>
      <c r="L16" s="11">
        <v>0</v>
      </c>
      <c r="M16" s="38"/>
      <c r="N16" s="38"/>
      <c r="O16" s="11">
        <v>3</v>
      </c>
      <c r="P16" s="38"/>
      <c r="Q16" s="11">
        <v>3</v>
      </c>
      <c r="R16" s="11">
        <v>3</v>
      </c>
      <c r="S16" s="11">
        <f>SUM(Tabelle22[[#This Row],[CK 1 Angriff]:[CK7 Angriff]])</f>
        <v>9</v>
      </c>
      <c r="T16" s="11"/>
      <c r="U16" s="11"/>
      <c r="V16" s="11"/>
      <c r="W16" s="11"/>
    </row>
    <row r="17" spans="1:23" s="4" customFormat="1" x14ac:dyDescent="0.2">
      <c r="A17" s="47" t="s">
        <v>40</v>
      </c>
      <c r="B17" s="8" t="s">
        <v>16</v>
      </c>
      <c r="C17" s="8">
        <v>109</v>
      </c>
      <c r="D17" s="11">
        <v>2531</v>
      </c>
      <c r="E17" s="8">
        <v>19</v>
      </c>
      <c r="F17" s="8">
        <v>19</v>
      </c>
      <c r="G17" s="15">
        <v>0</v>
      </c>
      <c r="H17" s="11">
        <v>0</v>
      </c>
      <c r="I17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17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17" s="11">
        <v>15</v>
      </c>
      <c r="L17" s="38"/>
      <c r="M17" s="38"/>
      <c r="N17" s="38"/>
      <c r="O17" s="38"/>
      <c r="P17" s="38"/>
      <c r="Q17" s="38"/>
      <c r="R17" s="11"/>
      <c r="S17" s="11">
        <f>SUM(Tabelle22[[#This Row],[CK 1 Angriff]:[CK7 Angriff]])</f>
        <v>0</v>
      </c>
      <c r="T17" s="11"/>
      <c r="U17" s="11"/>
      <c r="V17" s="11"/>
      <c r="W17" s="11"/>
    </row>
    <row r="18" spans="1:23" s="4" customFormat="1" x14ac:dyDescent="0.2">
      <c r="A18" s="48" t="s">
        <v>36</v>
      </c>
      <c r="B18" s="4" t="s">
        <v>15</v>
      </c>
      <c r="C18" s="4">
        <v>121</v>
      </c>
      <c r="D18" s="13">
        <v>2604</v>
      </c>
      <c r="E18" s="4">
        <v>18</v>
      </c>
      <c r="F18" s="8">
        <v>18</v>
      </c>
      <c r="G18" s="15">
        <v>33</v>
      </c>
      <c r="H18" s="11">
        <v>134</v>
      </c>
      <c r="I18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0.2462686567164179</v>
      </c>
      <c r="J18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-11.666666666666664</v>
      </c>
      <c r="K18" s="11">
        <v>16</v>
      </c>
      <c r="L18" s="11">
        <v>1</v>
      </c>
      <c r="M18" s="11">
        <v>1</v>
      </c>
      <c r="N18" s="11">
        <v>0</v>
      </c>
      <c r="O18" s="11">
        <v>2</v>
      </c>
      <c r="P18" s="11">
        <v>1</v>
      </c>
      <c r="Q18" s="11">
        <v>2</v>
      </c>
      <c r="R18" s="11">
        <v>2</v>
      </c>
      <c r="S18" s="11">
        <f>SUM(Tabelle22[[#This Row],[CK 1 Angriff]:[CK7 Angriff]])</f>
        <v>9</v>
      </c>
      <c r="T18" s="11"/>
      <c r="U18" s="11"/>
      <c r="V18" s="11"/>
      <c r="W18" s="11"/>
    </row>
    <row r="19" spans="1:23" s="4" customFormat="1" x14ac:dyDescent="0.2">
      <c r="A19" s="50" t="s">
        <v>63</v>
      </c>
      <c r="B19" s="4" t="s">
        <v>16</v>
      </c>
      <c r="C19" s="4">
        <v>121</v>
      </c>
      <c r="D19" s="13">
        <v>2339</v>
      </c>
      <c r="E19" s="4">
        <v>23</v>
      </c>
      <c r="F19" s="8">
        <v>23</v>
      </c>
      <c r="G19" s="15">
        <v>0</v>
      </c>
      <c r="H19" s="11">
        <v>5</v>
      </c>
      <c r="I19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19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-1.6666666666666667</v>
      </c>
      <c r="K19" s="11">
        <v>17</v>
      </c>
      <c r="L19" s="38"/>
      <c r="M19" s="38"/>
      <c r="N19" s="38"/>
      <c r="O19" s="11">
        <v>3</v>
      </c>
      <c r="P19" s="38"/>
      <c r="Q19" s="11">
        <v>3</v>
      </c>
      <c r="R19" s="11">
        <v>3</v>
      </c>
      <c r="S19" s="11">
        <f>SUM(Tabelle22[[#This Row],[CK 1 Angriff]:[CK7 Angriff]])</f>
        <v>9</v>
      </c>
      <c r="T19" s="11"/>
      <c r="U19" s="11"/>
      <c r="V19" s="11"/>
      <c r="W19" s="11"/>
    </row>
    <row r="20" spans="1:23" s="4" customFormat="1" x14ac:dyDescent="0.2">
      <c r="A20" s="49" t="s">
        <v>35</v>
      </c>
      <c r="B20" s="4" t="s">
        <v>15</v>
      </c>
      <c r="C20" s="4">
        <v>138</v>
      </c>
      <c r="D20" s="13">
        <v>3142</v>
      </c>
      <c r="E20" s="4">
        <v>14</v>
      </c>
      <c r="F20" s="8">
        <v>14</v>
      </c>
      <c r="G20" s="15">
        <v>101</v>
      </c>
      <c r="H20" s="11">
        <v>300</v>
      </c>
      <c r="I20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0.33666666666666667</v>
      </c>
      <c r="J20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3</v>
      </c>
      <c r="K20" s="11">
        <v>18</v>
      </c>
      <c r="L20" s="11">
        <v>1</v>
      </c>
      <c r="M20" s="11">
        <v>1</v>
      </c>
      <c r="N20" s="11">
        <v>0</v>
      </c>
      <c r="O20" s="11">
        <v>2</v>
      </c>
      <c r="P20" s="11">
        <v>3</v>
      </c>
      <c r="Q20" s="38"/>
      <c r="R20" s="11">
        <v>2</v>
      </c>
      <c r="S20" s="11">
        <f>SUM(Tabelle22[[#This Row],[CK 1 Angriff]:[CK7 Angriff]])</f>
        <v>9</v>
      </c>
      <c r="T20" s="11"/>
      <c r="U20" s="11"/>
      <c r="V20" s="11"/>
      <c r="W20" s="11"/>
    </row>
    <row r="21" spans="1:23" s="4" customFormat="1" x14ac:dyDescent="0.2">
      <c r="A21" s="50" t="s">
        <v>65</v>
      </c>
      <c r="B21" s="4" t="s">
        <v>16</v>
      </c>
      <c r="C21" s="4">
        <v>102</v>
      </c>
      <c r="D21" s="13">
        <v>2225</v>
      </c>
      <c r="E21" s="4">
        <v>27</v>
      </c>
      <c r="F21" s="8">
        <v>27</v>
      </c>
      <c r="G21" s="15">
        <v>0</v>
      </c>
      <c r="H21" s="11">
        <v>133</v>
      </c>
      <c r="I21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21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-44.333333333333336</v>
      </c>
      <c r="K21" s="11">
        <v>19</v>
      </c>
      <c r="L21" s="11">
        <v>0</v>
      </c>
      <c r="M21" s="38"/>
      <c r="N21" s="38"/>
      <c r="O21" s="38"/>
      <c r="P21" s="11">
        <v>2</v>
      </c>
      <c r="Q21" s="11">
        <v>1</v>
      </c>
      <c r="R21" s="11"/>
      <c r="S21" s="11">
        <f>SUM(Tabelle22[[#This Row],[CK 1 Angriff]:[CK7 Angriff]])</f>
        <v>3</v>
      </c>
      <c r="T21" s="11"/>
      <c r="U21" s="11"/>
      <c r="V21" s="11"/>
      <c r="W21" s="11"/>
    </row>
    <row r="22" spans="1:23" s="4" customFormat="1" x14ac:dyDescent="0.2">
      <c r="A22" s="50" t="s">
        <v>53</v>
      </c>
      <c r="B22" s="4" t="s">
        <v>16</v>
      </c>
      <c r="C22" s="4">
        <v>115</v>
      </c>
      <c r="D22" s="13">
        <v>1934</v>
      </c>
      <c r="E22" s="4">
        <v>33</v>
      </c>
      <c r="F22" s="8">
        <v>33</v>
      </c>
      <c r="G22" s="15">
        <v>0</v>
      </c>
      <c r="H22" s="11">
        <v>0</v>
      </c>
      <c r="I22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22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22" s="11">
        <v>20</v>
      </c>
      <c r="L22" s="11">
        <v>1</v>
      </c>
      <c r="M22" s="38"/>
      <c r="N22" s="38"/>
      <c r="O22" s="38"/>
      <c r="P22" s="38"/>
      <c r="Q22" s="38"/>
      <c r="R22" s="11"/>
      <c r="S22" s="11">
        <f>SUM(Tabelle22[[#This Row],[CK 1 Angriff]:[CK7 Angriff]])</f>
        <v>1</v>
      </c>
      <c r="T22" s="11"/>
      <c r="U22" s="11"/>
      <c r="V22" s="11"/>
      <c r="W22" s="11"/>
    </row>
    <row r="23" spans="1:23" s="4" customFormat="1" x14ac:dyDescent="0.2">
      <c r="A23" s="46" t="s">
        <v>64</v>
      </c>
      <c r="B23" s="4" t="s">
        <v>16</v>
      </c>
      <c r="C23" s="4">
        <v>109</v>
      </c>
      <c r="D23" s="13">
        <v>2327</v>
      </c>
      <c r="E23" s="4">
        <v>24</v>
      </c>
      <c r="F23" s="8">
        <v>24</v>
      </c>
      <c r="G23" s="15">
        <v>0</v>
      </c>
      <c r="H23" s="11">
        <v>215</v>
      </c>
      <c r="I23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23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-71.666666666666671</v>
      </c>
      <c r="K23" s="11">
        <v>21</v>
      </c>
      <c r="L23" s="11">
        <v>0</v>
      </c>
      <c r="M23" s="38"/>
      <c r="N23" s="38"/>
      <c r="O23" s="38"/>
      <c r="P23" s="38"/>
      <c r="Q23" s="38"/>
      <c r="R23" s="11"/>
      <c r="S23" s="11">
        <f>SUM(Tabelle22[[#This Row],[CK 1 Angriff]:[CK7 Angriff]])</f>
        <v>0</v>
      </c>
      <c r="T23" s="11"/>
      <c r="U23" s="11"/>
      <c r="V23" s="11"/>
      <c r="W23" s="11"/>
    </row>
    <row r="24" spans="1:23" s="4" customFormat="1" x14ac:dyDescent="0.2">
      <c r="A24" s="49" t="s">
        <v>50</v>
      </c>
      <c r="B24" s="4" t="s">
        <v>16</v>
      </c>
      <c r="C24" s="4">
        <v>101</v>
      </c>
      <c r="D24" s="13">
        <v>1914</v>
      </c>
      <c r="E24" s="4">
        <v>35</v>
      </c>
      <c r="F24" s="8">
        <v>37</v>
      </c>
      <c r="G24" s="15">
        <v>1</v>
      </c>
      <c r="H24" s="11">
        <v>458</v>
      </c>
      <c r="I24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2.1834061135371178E-3</v>
      </c>
      <c r="J24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-151.66666666666666</v>
      </c>
      <c r="K24" s="11">
        <v>22</v>
      </c>
      <c r="L24" s="11">
        <v>1</v>
      </c>
      <c r="M24" s="11">
        <v>0</v>
      </c>
      <c r="N24" s="38"/>
      <c r="O24" s="11">
        <v>2</v>
      </c>
      <c r="P24" s="11">
        <v>3</v>
      </c>
      <c r="Q24" s="11">
        <v>1</v>
      </c>
      <c r="R24" s="11"/>
      <c r="S24" s="11">
        <f>SUM(Tabelle22[[#This Row],[CK 1 Angriff]:[CK7 Angriff]])</f>
        <v>7</v>
      </c>
      <c r="T24" s="11"/>
      <c r="U24" s="11"/>
      <c r="V24" s="11"/>
      <c r="W24" s="11"/>
    </row>
    <row r="25" spans="1:23" s="4" customFormat="1" x14ac:dyDescent="0.2">
      <c r="A25" s="48" t="s">
        <v>48</v>
      </c>
      <c r="B25" s="4" t="s">
        <v>16</v>
      </c>
      <c r="C25" s="4">
        <v>119</v>
      </c>
      <c r="D25" s="13">
        <v>2235</v>
      </c>
      <c r="E25" s="4">
        <v>26</v>
      </c>
      <c r="F25" s="8">
        <v>25</v>
      </c>
      <c r="G25" s="15">
        <v>145</v>
      </c>
      <c r="H25" s="11">
        <v>0</v>
      </c>
      <c r="I25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25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435</v>
      </c>
      <c r="K25" s="11">
        <v>23</v>
      </c>
      <c r="L25" s="11">
        <v>0</v>
      </c>
      <c r="M25" s="11">
        <v>0</v>
      </c>
      <c r="N25" s="11">
        <v>0</v>
      </c>
      <c r="O25" s="11">
        <v>3</v>
      </c>
      <c r="P25" s="11">
        <v>2</v>
      </c>
      <c r="Q25" s="11">
        <v>1</v>
      </c>
      <c r="R25" s="11"/>
      <c r="S25" s="11">
        <f>SUM(Tabelle22[[#This Row],[CK 1 Angriff]:[CK7 Angriff]])</f>
        <v>6</v>
      </c>
      <c r="T25" s="11"/>
      <c r="U25" s="11"/>
      <c r="V25" s="11"/>
      <c r="W25" s="11"/>
    </row>
    <row r="26" spans="1:23" s="4" customFormat="1" x14ac:dyDescent="0.2">
      <c r="A26" s="50" t="s">
        <v>47</v>
      </c>
      <c r="B26" s="4" t="s">
        <v>16</v>
      </c>
      <c r="C26" s="4">
        <v>108</v>
      </c>
      <c r="D26" s="13">
        <v>2237</v>
      </c>
      <c r="E26" s="4">
        <v>25</v>
      </c>
      <c r="F26" s="8">
        <v>26</v>
      </c>
      <c r="G26" s="15">
        <v>0</v>
      </c>
      <c r="H26" s="11">
        <v>431</v>
      </c>
      <c r="I26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26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-143.66666666666666</v>
      </c>
      <c r="K26" s="11">
        <v>24</v>
      </c>
      <c r="L26" s="11">
        <v>0</v>
      </c>
      <c r="M26" s="11">
        <v>0</v>
      </c>
      <c r="N26" s="38"/>
      <c r="O26" s="38"/>
      <c r="P26" s="38"/>
      <c r="Q26" s="11">
        <v>2</v>
      </c>
      <c r="R26" s="11"/>
      <c r="S26" s="11">
        <f>SUM(Tabelle22[[#This Row],[CK 1 Angriff]:[CK7 Angriff]])</f>
        <v>2</v>
      </c>
      <c r="T26" s="11"/>
      <c r="U26" s="11"/>
      <c r="V26" s="11"/>
      <c r="W26" s="11"/>
    </row>
    <row r="27" spans="1:23" s="4" customFormat="1" x14ac:dyDescent="0.25">
      <c r="A27" s="47" t="s">
        <v>66</v>
      </c>
      <c r="B27" s="8" t="s">
        <v>16</v>
      </c>
      <c r="C27" s="8">
        <v>112</v>
      </c>
      <c r="D27" s="11">
        <v>2134</v>
      </c>
      <c r="E27" s="8">
        <v>30</v>
      </c>
      <c r="F27" s="8">
        <v>30</v>
      </c>
      <c r="G27" s="15">
        <v>4</v>
      </c>
      <c r="H27" s="11">
        <v>239</v>
      </c>
      <c r="I27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1.6736401673640166E-2</v>
      </c>
      <c r="J27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-75.666666666666671</v>
      </c>
      <c r="K27" s="11">
        <v>25</v>
      </c>
      <c r="L27" s="38"/>
      <c r="M27" s="38"/>
      <c r="N27" s="38"/>
      <c r="O27" s="38"/>
      <c r="P27" s="38"/>
      <c r="Q27" s="38"/>
      <c r="R27" s="11"/>
      <c r="S27" s="11">
        <f>SUM(Tabelle22[[#This Row],[CK 1 Angriff]:[CK7 Angriff]])</f>
        <v>0</v>
      </c>
      <c r="T27" s="11"/>
      <c r="U27" s="11"/>
      <c r="V27" s="11"/>
      <c r="W27" s="11"/>
    </row>
    <row r="28" spans="1:23" s="4" customFormat="1" x14ac:dyDescent="0.25">
      <c r="A28" s="48" t="s">
        <v>51</v>
      </c>
      <c r="B28" s="4" t="s">
        <v>15</v>
      </c>
      <c r="C28" s="4">
        <v>64</v>
      </c>
      <c r="D28" s="13">
        <v>1929</v>
      </c>
      <c r="E28" s="4">
        <v>34</v>
      </c>
      <c r="F28" s="8">
        <v>32</v>
      </c>
      <c r="G28" s="15">
        <v>111</v>
      </c>
      <c r="H28" s="11">
        <v>1110</v>
      </c>
      <c r="I28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0.1</v>
      </c>
      <c r="J28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-259</v>
      </c>
      <c r="K28" s="11">
        <v>26</v>
      </c>
      <c r="L28" s="11">
        <v>0</v>
      </c>
      <c r="M28" s="11">
        <v>0</v>
      </c>
      <c r="N28" s="11">
        <v>1</v>
      </c>
      <c r="O28" s="11">
        <v>1</v>
      </c>
      <c r="P28" s="11">
        <v>0</v>
      </c>
      <c r="Q28" s="11">
        <v>1</v>
      </c>
      <c r="R28" s="11"/>
      <c r="S28" s="11">
        <f>SUM(Tabelle22[[#This Row],[CK 1 Angriff]:[CK7 Angriff]])</f>
        <v>3</v>
      </c>
      <c r="T28" s="11"/>
      <c r="U28" s="11"/>
      <c r="V28" s="11"/>
      <c r="W28" s="11"/>
    </row>
    <row r="29" spans="1:23" s="4" customFormat="1" x14ac:dyDescent="0.25">
      <c r="A29" s="46" t="s">
        <v>68</v>
      </c>
      <c r="B29" s="4" t="s">
        <v>16</v>
      </c>
      <c r="C29" s="4">
        <v>82</v>
      </c>
      <c r="D29" s="13">
        <v>1820</v>
      </c>
      <c r="E29" s="4">
        <v>37</v>
      </c>
      <c r="F29" s="8">
        <v>35</v>
      </c>
      <c r="G29" s="15">
        <v>0</v>
      </c>
      <c r="H29" s="11">
        <v>0</v>
      </c>
      <c r="I29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29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29" s="11">
        <v>27</v>
      </c>
      <c r="L29" s="38"/>
      <c r="M29" s="11" t="s">
        <v>78</v>
      </c>
      <c r="N29" s="11" t="s">
        <v>78</v>
      </c>
      <c r="O29" s="38"/>
      <c r="P29" s="38"/>
      <c r="Q29" s="38"/>
      <c r="R29" s="11"/>
      <c r="S29" s="11">
        <f>SUM(Tabelle22[[#This Row],[CK 1 Angriff]:[CK7 Angriff]])</f>
        <v>0</v>
      </c>
      <c r="T29" s="11"/>
      <c r="U29" s="11"/>
      <c r="V29" s="11"/>
      <c r="W29" s="11"/>
    </row>
    <row r="30" spans="1:23" s="4" customFormat="1" x14ac:dyDescent="0.25">
      <c r="A30" s="46" t="s">
        <v>55</v>
      </c>
      <c r="B30" s="4" t="s">
        <v>16</v>
      </c>
      <c r="C30" s="4">
        <v>83</v>
      </c>
      <c r="D30" s="13">
        <v>1784</v>
      </c>
      <c r="E30" s="4">
        <v>40</v>
      </c>
      <c r="F30" s="8">
        <v>38</v>
      </c>
      <c r="G30" s="15">
        <v>12</v>
      </c>
      <c r="H30" s="11">
        <v>0</v>
      </c>
      <c r="I30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30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36</v>
      </c>
      <c r="K30" s="11">
        <v>28</v>
      </c>
      <c r="L30" s="38"/>
      <c r="M30" s="11" t="s">
        <v>78</v>
      </c>
      <c r="N30" s="11" t="s">
        <v>78</v>
      </c>
      <c r="O30" s="11" t="s">
        <v>78</v>
      </c>
      <c r="P30" s="11" t="s">
        <v>78</v>
      </c>
      <c r="Q30" s="38"/>
      <c r="R30" s="11"/>
      <c r="S30" s="11">
        <f>SUM(Tabelle22[[#This Row],[CK 1 Angriff]:[CK7 Angriff]])</f>
        <v>0</v>
      </c>
      <c r="T30" s="11"/>
      <c r="U30" s="11"/>
      <c r="V30" s="11"/>
      <c r="W30" s="11"/>
    </row>
    <row r="31" spans="1:23" s="4" customFormat="1" x14ac:dyDescent="0.25">
      <c r="A31" s="46" t="s">
        <v>56</v>
      </c>
      <c r="B31" s="4" t="s">
        <v>16</v>
      </c>
      <c r="C31" s="4">
        <v>83</v>
      </c>
      <c r="D31" s="13">
        <v>1758</v>
      </c>
      <c r="E31" s="4">
        <v>41</v>
      </c>
      <c r="F31" s="8">
        <v>42</v>
      </c>
      <c r="G31" s="15">
        <v>0</v>
      </c>
      <c r="H31" s="11">
        <v>26</v>
      </c>
      <c r="I31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31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-8.6666666666666661</v>
      </c>
      <c r="K31" s="11">
        <v>29</v>
      </c>
      <c r="L31" s="38"/>
      <c r="M31" s="11" t="s">
        <v>78</v>
      </c>
      <c r="N31" s="11" t="s">
        <v>78</v>
      </c>
      <c r="O31" s="11" t="s">
        <v>78</v>
      </c>
      <c r="P31" s="11" t="s">
        <v>78</v>
      </c>
      <c r="Q31" s="38"/>
      <c r="R31" s="11"/>
      <c r="S31" s="11">
        <f>SUM(Tabelle22[[#This Row],[CK 1 Angriff]:[CK7 Angriff]])</f>
        <v>0</v>
      </c>
      <c r="T31" s="11"/>
      <c r="U31" s="11"/>
      <c r="V31" s="11"/>
      <c r="W31" s="11"/>
    </row>
    <row r="32" spans="1:23" s="4" customFormat="1" x14ac:dyDescent="0.25">
      <c r="A32" s="46" t="s">
        <v>70</v>
      </c>
      <c r="B32" s="4" t="s">
        <v>16</v>
      </c>
      <c r="C32" s="4">
        <v>84</v>
      </c>
      <c r="D32" s="13">
        <v>1732</v>
      </c>
      <c r="E32" s="4">
        <v>42</v>
      </c>
      <c r="F32" s="8">
        <v>41</v>
      </c>
      <c r="G32" s="15">
        <v>0</v>
      </c>
      <c r="H32" s="11">
        <v>50</v>
      </c>
      <c r="I32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32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-16.666666666666668</v>
      </c>
      <c r="K32" s="11">
        <v>30</v>
      </c>
      <c r="L32" s="11" t="s">
        <v>78</v>
      </c>
      <c r="M32" s="38"/>
      <c r="N32" s="38"/>
      <c r="O32" s="38"/>
      <c r="P32" s="38"/>
      <c r="Q32" s="38"/>
      <c r="R32" s="11"/>
      <c r="S32" s="11">
        <f>SUM(Tabelle22[[#This Row],[CK 1 Angriff]:[CK7 Angriff]])</f>
        <v>0</v>
      </c>
      <c r="T32" s="11"/>
      <c r="U32" s="11"/>
      <c r="V32" s="11"/>
      <c r="W32" s="11"/>
    </row>
    <row r="33" spans="1:23" s="4" customFormat="1" x14ac:dyDescent="0.25">
      <c r="A33" s="8" t="s">
        <v>58</v>
      </c>
      <c r="B33" s="8" t="s">
        <v>16</v>
      </c>
      <c r="C33" s="8">
        <v>72</v>
      </c>
      <c r="D33" s="11">
        <v>1791</v>
      </c>
      <c r="E33" s="8">
        <v>39</v>
      </c>
      <c r="F33" s="8">
        <v>39</v>
      </c>
      <c r="G33" s="15">
        <v>0</v>
      </c>
      <c r="H33" s="11">
        <v>0</v>
      </c>
      <c r="I33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33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33" s="11">
        <v>31</v>
      </c>
      <c r="L33" s="11">
        <v>0</v>
      </c>
      <c r="M33" s="38"/>
      <c r="N33" s="11">
        <v>1</v>
      </c>
      <c r="O33" s="11" t="s">
        <v>78</v>
      </c>
      <c r="P33" s="11" t="s">
        <v>78</v>
      </c>
      <c r="Q33" s="38"/>
      <c r="R33" s="11"/>
      <c r="S33" s="11">
        <f>SUM(Tabelle22[[#This Row],[CK 1 Angriff]:[CK7 Angriff]])</f>
        <v>1</v>
      </c>
      <c r="T33" s="11"/>
      <c r="U33" s="11"/>
      <c r="V33" s="11"/>
      <c r="W33" s="11"/>
    </row>
    <row r="34" spans="1:23" s="4" customFormat="1" x14ac:dyDescent="0.25">
      <c r="A34" s="4" t="s">
        <v>61</v>
      </c>
      <c r="B34" s="4" t="s">
        <v>16</v>
      </c>
      <c r="C34" s="4">
        <v>64</v>
      </c>
      <c r="D34" s="13">
        <v>1620</v>
      </c>
      <c r="E34" s="4">
        <v>46</v>
      </c>
      <c r="F34" s="8">
        <v>46</v>
      </c>
      <c r="G34" s="15">
        <v>0</v>
      </c>
      <c r="H34" s="11">
        <v>353</v>
      </c>
      <c r="I34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34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-117.66666666666667</v>
      </c>
      <c r="K34" s="11">
        <v>33</v>
      </c>
      <c r="L34" s="11" t="s">
        <v>78</v>
      </c>
      <c r="M34" s="38"/>
      <c r="N34" s="38"/>
      <c r="O34" s="11">
        <v>1</v>
      </c>
      <c r="P34" s="11">
        <v>0</v>
      </c>
      <c r="Q34" s="38"/>
      <c r="R34" s="11"/>
      <c r="S34" s="11">
        <f>SUM(Tabelle22[[#This Row],[CK 1 Angriff]:[CK7 Angriff]])</f>
        <v>1</v>
      </c>
      <c r="T34" s="11"/>
      <c r="U34" s="11"/>
      <c r="V34" s="11"/>
      <c r="W34" s="11"/>
    </row>
    <row r="35" spans="1:23" s="4" customFormat="1" x14ac:dyDescent="0.25">
      <c r="A35" s="46" t="s">
        <v>59</v>
      </c>
      <c r="B35" s="4" t="s">
        <v>16</v>
      </c>
      <c r="C35" s="4">
        <v>64</v>
      </c>
      <c r="D35" s="13">
        <v>1479</v>
      </c>
      <c r="E35" s="4">
        <v>47</v>
      </c>
      <c r="F35" s="8">
        <v>47</v>
      </c>
      <c r="G35" s="15">
        <v>2</v>
      </c>
      <c r="H35" s="11">
        <v>20</v>
      </c>
      <c r="I35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0.1</v>
      </c>
      <c r="J35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-4.666666666666667</v>
      </c>
      <c r="K35" s="11">
        <v>34</v>
      </c>
      <c r="L35" s="11" t="s">
        <v>78</v>
      </c>
      <c r="M35" s="38"/>
      <c r="N35" s="11">
        <v>0</v>
      </c>
      <c r="O35" s="38"/>
      <c r="P35" s="38"/>
      <c r="Q35" s="38"/>
      <c r="R35" s="11"/>
      <c r="S35" s="11">
        <f>SUM(Tabelle22[[#This Row],[CK 1 Angriff]:[CK7 Angriff]])</f>
        <v>0</v>
      </c>
      <c r="T35" s="11"/>
      <c r="U35" s="11"/>
      <c r="V35" s="11"/>
      <c r="W35" s="11"/>
    </row>
    <row r="36" spans="1:23" s="36" customFormat="1" x14ac:dyDescent="0.25">
      <c r="A36" t="s">
        <v>43</v>
      </c>
      <c r="B36" t="s">
        <v>16</v>
      </c>
      <c r="C36">
        <v>165</v>
      </c>
      <c r="D36" s="12">
        <v>3226</v>
      </c>
      <c r="E36">
        <v>12</v>
      </c>
      <c r="F36" s="6">
        <v>12</v>
      </c>
      <c r="G36" s="14">
        <v>46</v>
      </c>
      <c r="H36" s="10">
        <v>0</v>
      </c>
      <c r="I36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36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138</v>
      </c>
      <c r="K36" s="10"/>
      <c r="L36" s="10"/>
      <c r="M36" s="10"/>
      <c r="N36" s="10"/>
      <c r="O36" s="10"/>
      <c r="P36" s="10"/>
      <c r="Q36" s="10"/>
      <c r="R36" s="10"/>
      <c r="S36" s="37">
        <f>SUM(Tabelle22[[#This Row],[CK 1 Angriff]:[CK7 Angriff]])</f>
        <v>0</v>
      </c>
      <c r="T36" s="37"/>
      <c r="U36" s="37"/>
      <c r="V36" s="37"/>
      <c r="W36" s="37"/>
    </row>
    <row r="37" spans="1:23" s="36" customFormat="1" x14ac:dyDescent="0.25">
      <c r="A37" t="s">
        <v>26</v>
      </c>
      <c r="B37" t="s">
        <v>16</v>
      </c>
      <c r="C37">
        <v>148</v>
      </c>
      <c r="D37" s="12">
        <v>2712</v>
      </c>
      <c r="E37">
        <v>17</v>
      </c>
      <c r="F37" s="6">
        <v>17</v>
      </c>
      <c r="G37" s="14">
        <v>133</v>
      </c>
      <c r="H37" s="10">
        <v>0</v>
      </c>
      <c r="I37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37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399</v>
      </c>
      <c r="K37" s="10"/>
      <c r="L37" s="10"/>
      <c r="M37" s="10"/>
      <c r="N37" s="10"/>
      <c r="O37" s="10"/>
      <c r="P37" s="10"/>
      <c r="Q37" s="10"/>
      <c r="R37" s="10"/>
      <c r="S37" s="37">
        <f>SUM(Tabelle22[[#This Row],[CK 1 Angriff]:[CK7 Angriff]])</f>
        <v>0</v>
      </c>
      <c r="T37" s="37"/>
      <c r="U37" s="37"/>
      <c r="V37" s="37"/>
      <c r="W37" s="37"/>
    </row>
    <row r="38" spans="1:23" x14ac:dyDescent="0.25">
      <c r="A38" t="s">
        <v>46</v>
      </c>
      <c r="B38" t="s">
        <v>15</v>
      </c>
      <c r="C38">
        <v>122</v>
      </c>
      <c r="D38" s="12">
        <v>2474</v>
      </c>
      <c r="E38">
        <v>20</v>
      </c>
      <c r="F38" s="6">
        <v>20</v>
      </c>
      <c r="G38" s="14">
        <v>453</v>
      </c>
      <c r="H38" s="10">
        <v>980</v>
      </c>
      <c r="I38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0.46224489795918366</v>
      </c>
      <c r="J38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379</v>
      </c>
      <c r="K38" s="10"/>
      <c r="L38" s="10"/>
      <c r="M38" s="10"/>
      <c r="N38" s="10"/>
      <c r="O38" s="10"/>
      <c r="P38" s="10"/>
      <c r="Q38" s="10"/>
      <c r="R38" s="10"/>
      <c r="S38" s="10">
        <f>SUM(Tabelle22[[#This Row],[CK 1 Angriff]:[CK7 Angriff]])</f>
        <v>0</v>
      </c>
      <c r="T38" s="10"/>
      <c r="U38" s="10"/>
      <c r="V38" s="10"/>
      <c r="W38" s="11"/>
    </row>
    <row r="39" spans="1:23" s="36" customFormat="1" x14ac:dyDescent="0.25">
      <c r="A39" s="6" t="s">
        <v>29</v>
      </c>
      <c r="B39" s="6" t="s">
        <v>15</v>
      </c>
      <c r="C39" s="6">
        <v>149</v>
      </c>
      <c r="D39" s="10">
        <v>2373</v>
      </c>
      <c r="E39" s="6">
        <v>21</v>
      </c>
      <c r="F39" s="6">
        <v>21</v>
      </c>
      <c r="G39" s="14">
        <v>187</v>
      </c>
      <c r="H39" s="10">
        <v>35</v>
      </c>
      <c r="I39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5.3428571428571425</v>
      </c>
      <c r="J39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526</v>
      </c>
      <c r="K39" s="10"/>
      <c r="L39" s="10"/>
      <c r="M39" s="10"/>
      <c r="N39" s="10"/>
      <c r="O39" s="10"/>
      <c r="P39" s="10"/>
      <c r="Q39" s="10"/>
      <c r="R39" s="10"/>
      <c r="S39" s="37">
        <f>SUM(Tabelle22[[#This Row],[CK 1 Angriff]:[CK7 Angriff]])</f>
        <v>0</v>
      </c>
      <c r="T39" s="37"/>
      <c r="U39" s="37"/>
      <c r="V39" s="37"/>
      <c r="W39" s="37"/>
    </row>
    <row r="40" spans="1:23" x14ac:dyDescent="0.25">
      <c r="A40" t="s">
        <v>45</v>
      </c>
      <c r="B40" t="s">
        <v>16</v>
      </c>
      <c r="C40">
        <v>111</v>
      </c>
      <c r="D40" s="12">
        <v>2352</v>
      </c>
      <c r="E40">
        <v>22</v>
      </c>
      <c r="F40" s="6">
        <v>22</v>
      </c>
      <c r="G40" s="14">
        <v>0</v>
      </c>
      <c r="H40" s="10">
        <v>271</v>
      </c>
      <c r="I40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40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-90.333333333333329</v>
      </c>
      <c r="K40" s="10"/>
      <c r="L40" s="10"/>
      <c r="M40" s="10"/>
      <c r="N40" s="10"/>
      <c r="O40" s="10"/>
      <c r="P40" s="10"/>
      <c r="Q40" s="10"/>
      <c r="R40" s="10"/>
      <c r="S40" s="10">
        <f>SUM(Tabelle22[[#This Row],[CK 1 Angriff]:[CK7 Angriff]])</f>
        <v>0</v>
      </c>
      <c r="T40" s="10"/>
      <c r="U40" s="10"/>
      <c r="V40" s="10"/>
      <c r="W40" s="11"/>
    </row>
    <row r="41" spans="1:23" s="36" customFormat="1" x14ac:dyDescent="0.25">
      <c r="A41" s="3" t="s">
        <v>41</v>
      </c>
      <c r="B41" s="3" t="s">
        <v>16</v>
      </c>
      <c r="C41" s="3">
        <v>109</v>
      </c>
      <c r="D41" s="10">
        <v>2155</v>
      </c>
      <c r="E41" s="3">
        <v>28</v>
      </c>
      <c r="F41" s="3">
        <v>28</v>
      </c>
      <c r="G41" s="14">
        <v>0</v>
      </c>
      <c r="H41" s="10">
        <v>0</v>
      </c>
      <c r="I41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41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41" s="10"/>
      <c r="L41" s="10"/>
      <c r="M41" s="10"/>
      <c r="N41" s="10"/>
      <c r="O41" s="10"/>
      <c r="P41" s="10"/>
      <c r="Q41" s="10"/>
      <c r="R41" s="10"/>
      <c r="S41" s="37">
        <f>SUM(Tabelle22[[#This Row],[CK 1 Angriff]:[CK7 Angriff]])</f>
        <v>0</v>
      </c>
      <c r="T41" s="37"/>
      <c r="U41" s="37"/>
      <c r="V41" s="37"/>
      <c r="W41" s="37"/>
    </row>
    <row r="42" spans="1:23" s="36" customFormat="1" x14ac:dyDescent="0.25">
      <c r="A42" t="s">
        <v>49</v>
      </c>
      <c r="B42" t="s">
        <v>16</v>
      </c>
      <c r="C42">
        <v>163</v>
      </c>
      <c r="D42" s="12">
        <v>2150</v>
      </c>
      <c r="E42">
        <v>29</v>
      </c>
      <c r="F42" s="6">
        <v>29</v>
      </c>
      <c r="G42" s="14">
        <v>8</v>
      </c>
      <c r="H42" s="10">
        <v>0</v>
      </c>
      <c r="I42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42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24</v>
      </c>
      <c r="K42" s="10"/>
      <c r="L42" s="10"/>
      <c r="M42" s="10"/>
      <c r="N42" s="10"/>
      <c r="O42" s="10"/>
      <c r="P42" s="10"/>
      <c r="Q42" s="10"/>
      <c r="R42" s="10"/>
      <c r="S42" s="37">
        <f>SUM(Tabelle22[[#This Row],[CK 1 Angriff]:[CK7 Angriff]])</f>
        <v>0</v>
      </c>
      <c r="T42" s="37"/>
      <c r="U42" s="37"/>
      <c r="V42" s="37"/>
      <c r="W42" s="37"/>
    </row>
    <row r="43" spans="1:23" s="36" customFormat="1" x14ac:dyDescent="0.25">
      <c r="A43" t="s">
        <v>67</v>
      </c>
      <c r="B43" t="s">
        <v>16</v>
      </c>
      <c r="C43">
        <v>105</v>
      </c>
      <c r="D43" s="12">
        <v>2051</v>
      </c>
      <c r="E43">
        <v>31</v>
      </c>
      <c r="F43" s="6">
        <v>31</v>
      </c>
      <c r="G43" s="14">
        <v>76</v>
      </c>
      <c r="H43" s="10">
        <v>338</v>
      </c>
      <c r="I43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0.22485207100591717</v>
      </c>
      <c r="J43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-36.666666666666671</v>
      </c>
      <c r="K43" s="10"/>
      <c r="L43" s="10"/>
      <c r="M43" s="10"/>
      <c r="N43" s="10"/>
      <c r="O43" s="10"/>
      <c r="P43" s="10"/>
      <c r="Q43" s="10"/>
      <c r="R43" s="10"/>
      <c r="S43" s="37">
        <f>SUM(Tabelle22[[#This Row],[CK 1 Angriff]:[CK7 Angriff]])</f>
        <v>0</v>
      </c>
      <c r="T43" s="37"/>
      <c r="U43" s="37"/>
      <c r="V43" s="37"/>
      <c r="W43" s="37"/>
    </row>
    <row r="44" spans="1:23" s="36" customFormat="1" x14ac:dyDescent="0.25">
      <c r="A44" t="s">
        <v>52</v>
      </c>
      <c r="B44" t="s">
        <v>15</v>
      </c>
      <c r="C44">
        <v>171</v>
      </c>
      <c r="D44" s="12">
        <v>1993</v>
      </c>
      <c r="E44">
        <v>32</v>
      </c>
      <c r="F44" s="6">
        <v>34</v>
      </c>
      <c r="G44" s="14">
        <v>531</v>
      </c>
      <c r="H44" s="10">
        <v>455</v>
      </c>
      <c r="I44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1.1670329670329671</v>
      </c>
      <c r="J44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1138</v>
      </c>
      <c r="K44" s="10"/>
      <c r="L44" s="10"/>
      <c r="M44" s="10"/>
      <c r="N44" s="10"/>
      <c r="O44" s="10"/>
      <c r="P44" s="10"/>
      <c r="Q44" s="10"/>
      <c r="R44" s="10"/>
      <c r="S44" s="37">
        <f>SUM(Tabelle22[[#This Row],[CK 1 Angriff]:[CK7 Angriff]])</f>
        <v>0</v>
      </c>
      <c r="T44" s="37"/>
      <c r="U44" s="37"/>
      <c r="V44" s="37"/>
      <c r="W44" s="37"/>
    </row>
    <row r="45" spans="1:23" x14ac:dyDescent="0.25">
      <c r="A45" t="s">
        <v>54</v>
      </c>
      <c r="B45" t="s">
        <v>16</v>
      </c>
      <c r="C45">
        <v>106</v>
      </c>
      <c r="D45" s="12">
        <v>1842</v>
      </c>
      <c r="E45">
        <v>36</v>
      </c>
      <c r="F45" s="6">
        <v>40</v>
      </c>
      <c r="G45" s="14">
        <v>0</v>
      </c>
      <c r="H45" s="10">
        <v>242</v>
      </c>
      <c r="I45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45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-80.666666666666671</v>
      </c>
      <c r="K45" s="10"/>
      <c r="L45" s="10"/>
      <c r="M45" s="10"/>
      <c r="N45" s="10"/>
      <c r="O45" s="10"/>
      <c r="P45" s="10"/>
      <c r="Q45" s="10"/>
      <c r="R45" s="10"/>
      <c r="S45" s="10">
        <f>SUM(Tabelle22[[#This Row],[CK 1 Angriff]:[CK7 Angriff]])</f>
        <v>0</v>
      </c>
      <c r="T45" s="10"/>
      <c r="U45" s="10"/>
      <c r="V45" s="10"/>
      <c r="W45" s="11"/>
    </row>
    <row r="46" spans="1:23" x14ac:dyDescent="0.25">
      <c r="A46" t="s">
        <v>69</v>
      </c>
      <c r="B46" t="s">
        <v>16</v>
      </c>
      <c r="C46">
        <v>92</v>
      </c>
      <c r="D46" s="12">
        <v>1818</v>
      </c>
      <c r="E46">
        <v>38</v>
      </c>
      <c r="F46" s="6">
        <v>36</v>
      </c>
      <c r="G46" s="14">
        <v>16</v>
      </c>
      <c r="H46" s="10">
        <v>0</v>
      </c>
      <c r="I46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46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48</v>
      </c>
      <c r="K46" s="10"/>
      <c r="L46" s="10"/>
      <c r="M46" s="10"/>
      <c r="N46" s="10"/>
      <c r="O46" s="10"/>
      <c r="P46" s="10"/>
      <c r="Q46" s="10"/>
      <c r="R46" s="10"/>
      <c r="S46" s="10">
        <f>SUM(Tabelle22[[#This Row],[CK 1 Angriff]:[CK7 Angriff]])</f>
        <v>0</v>
      </c>
      <c r="T46" s="10"/>
      <c r="U46" s="10"/>
      <c r="V46" s="10"/>
      <c r="W46" s="11"/>
    </row>
    <row r="47" spans="1:23" x14ac:dyDescent="0.25">
      <c r="A47" s="8" t="s">
        <v>60</v>
      </c>
      <c r="B47" s="8" t="s">
        <v>16</v>
      </c>
      <c r="C47" s="8">
        <v>89</v>
      </c>
      <c r="D47" s="11">
        <v>1705</v>
      </c>
      <c r="E47" s="8">
        <v>43</v>
      </c>
      <c r="F47" s="8">
        <v>43</v>
      </c>
      <c r="G47" s="15">
        <v>0</v>
      </c>
      <c r="H47" s="11">
        <v>31</v>
      </c>
      <c r="I47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47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-10.333333333333334</v>
      </c>
      <c r="K47" s="10"/>
      <c r="L47" s="10"/>
      <c r="M47" s="10"/>
      <c r="N47" s="10"/>
      <c r="O47" s="10"/>
      <c r="P47" s="10"/>
      <c r="Q47" s="10"/>
      <c r="R47" s="10"/>
      <c r="S47" s="10">
        <f>SUM(Tabelle22[[#This Row],[CK 1 Angriff]:[CK7 Angriff]])</f>
        <v>0</v>
      </c>
      <c r="T47" s="10"/>
      <c r="U47" s="10"/>
      <c r="V47" s="10"/>
      <c r="W47" s="11"/>
    </row>
    <row r="48" spans="1:23" s="36" customFormat="1" x14ac:dyDescent="0.25">
      <c r="A48" t="s">
        <v>57</v>
      </c>
      <c r="B48" t="s">
        <v>16</v>
      </c>
      <c r="C48">
        <v>90</v>
      </c>
      <c r="D48" s="12">
        <v>1680</v>
      </c>
      <c r="E48">
        <v>44</v>
      </c>
      <c r="F48" s="6">
        <v>44</v>
      </c>
      <c r="G48" s="14">
        <v>0</v>
      </c>
      <c r="H48" s="10">
        <v>31</v>
      </c>
      <c r="I48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48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-10.333333333333334</v>
      </c>
      <c r="K48" s="10"/>
      <c r="L48" s="10"/>
      <c r="M48" s="10"/>
      <c r="N48" s="10"/>
      <c r="O48" s="10"/>
      <c r="P48" s="10"/>
      <c r="Q48" s="10"/>
      <c r="R48" s="10"/>
      <c r="S48" s="37">
        <f>SUM(Tabelle22[[#This Row],[CK 1 Angriff]:[CK7 Angriff]])</f>
        <v>0</v>
      </c>
      <c r="T48" s="37"/>
      <c r="U48" s="37"/>
      <c r="V48" s="37"/>
      <c r="W48" s="37"/>
    </row>
    <row r="49" spans="1:23" s="36" customFormat="1" x14ac:dyDescent="0.25">
      <c r="A49" s="8" t="s">
        <v>30</v>
      </c>
      <c r="B49" s="8" t="s">
        <v>18</v>
      </c>
      <c r="C49" s="8">
        <v>114</v>
      </c>
      <c r="D49" s="11">
        <v>1631</v>
      </c>
      <c r="E49" s="8">
        <v>45</v>
      </c>
      <c r="F49" s="8">
        <v>45</v>
      </c>
      <c r="G49" s="15">
        <v>0</v>
      </c>
      <c r="H49" s="11">
        <v>0</v>
      </c>
      <c r="I49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49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49" s="10"/>
      <c r="L49" s="10"/>
      <c r="M49" s="10"/>
      <c r="N49" s="10"/>
      <c r="O49" s="10"/>
      <c r="P49" s="10"/>
      <c r="Q49" s="10"/>
      <c r="R49" s="10"/>
      <c r="S49" s="37">
        <f>SUM(Tabelle22[[#This Row],[CK 1 Angriff]:[CK7 Angriff]])</f>
        <v>0</v>
      </c>
      <c r="T49" s="37"/>
      <c r="U49" s="37"/>
      <c r="V49" s="37"/>
      <c r="W49" s="37"/>
    </row>
    <row r="50" spans="1:23" x14ac:dyDescent="0.25">
      <c r="A50" t="s">
        <v>42</v>
      </c>
      <c r="B50" t="s">
        <v>16</v>
      </c>
      <c r="C50">
        <v>65</v>
      </c>
      <c r="D50" s="12">
        <v>1236</v>
      </c>
      <c r="E50">
        <v>48</v>
      </c>
      <c r="F50" s="6">
        <v>48</v>
      </c>
      <c r="G50" s="14">
        <v>0</v>
      </c>
      <c r="H50" s="10">
        <v>0</v>
      </c>
      <c r="I50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50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50" s="10"/>
      <c r="L50" s="10"/>
      <c r="M50" s="10"/>
      <c r="N50" s="10"/>
      <c r="O50" s="10"/>
      <c r="P50" s="10"/>
      <c r="Q50" s="10"/>
      <c r="R50" s="10"/>
      <c r="S50" s="10">
        <f>SUM(Tabelle22[[#This Row],[CK 1 Angriff]:[CK7 Angriff]])</f>
        <v>0</v>
      </c>
      <c r="T50" s="10"/>
      <c r="U50" s="10"/>
      <c r="V50" s="10"/>
      <c r="W50" s="11"/>
    </row>
    <row r="51" spans="1:23" x14ac:dyDescent="0.25">
      <c r="A51" t="s">
        <v>31</v>
      </c>
      <c r="B51" t="s">
        <v>15</v>
      </c>
      <c r="C51">
        <v>97</v>
      </c>
      <c r="D51" s="12">
        <v>1065</v>
      </c>
      <c r="E51">
        <v>49</v>
      </c>
      <c r="F51" s="6">
        <v>49</v>
      </c>
      <c r="G51" s="14">
        <v>156</v>
      </c>
      <c r="H51" s="10">
        <v>0</v>
      </c>
      <c r="I51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51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468</v>
      </c>
      <c r="K51" s="10"/>
      <c r="L51" s="10"/>
      <c r="M51" s="10"/>
      <c r="N51" s="10"/>
      <c r="O51" s="10"/>
      <c r="P51" s="10"/>
      <c r="Q51" s="10"/>
      <c r="R51" s="10"/>
      <c r="S51" s="10">
        <f>SUM(Tabelle22[[#This Row],[CK 1 Angriff]:[CK7 Angriff]])</f>
        <v>0</v>
      </c>
      <c r="T51" s="10"/>
      <c r="U51" s="10"/>
      <c r="V51" s="10"/>
      <c r="W51" s="11"/>
    </row>
    <row r="52" spans="1:23" x14ac:dyDescent="0.25">
      <c r="A52" s="4"/>
      <c r="B52" s="4"/>
      <c r="C52" s="4"/>
      <c r="D52" s="13"/>
      <c r="E52" s="4"/>
      <c r="F52" s="8"/>
      <c r="G52" s="15"/>
      <c r="H52" s="11"/>
      <c r="I52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52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52" s="10"/>
      <c r="L52" s="10"/>
      <c r="M52" s="10"/>
      <c r="N52" s="10"/>
      <c r="O52" s="10"/>
      <c r="P52" s="10"/>
      <c r="Q52" s="10"/>
      <c r="R52" s="10"/>
      <c r="S52" s="10">
        <f>SUM(Tabelle22[[#This Row],[CK 1 Angriff]:[CK7 Angriff]])</f>
        <v>0</v>
      </c>
      <c r="T52" s="10"/>
      <c r="U52" s="10"/>
      <c r="V52" s="10"/>
      <c r="W52" s="11"/>
    </row>
    <row r="53" spans="1:23" x14ac:dyDescent="0.25">
      <c r="D53" s="16"/>
      <c r="G53" s="16"/>
      <c r="H53" s="16"/>
      <c r="I53" s="9"/>
      <c r="J53" s="16"/>
      <c r="K53" s="16"/>
      <c r="L53" s="16">
        <f>SUBTOTAL(109,Tabelle22[CK 1 Angriff])</f>
        <v>24</v>
      </c>
      <c r="M53" s="32"/>
      <c r="N53" s="32"/>
      <c r="O53" s="32"/>
      <c r="P53" s="32"/>
      <c r="Q53" s="32"/>
      <c r="R53"/>
      <c r="S53" s="32"/>
      <c r="T53"/>
      <c r="U53"/>
      <c r="V53"/>
      <c r="W53" s="25"/>
    </row>
  </sheetData>
  <mergeCells count="1">
    <mergeCell ref="A1:I1"/>
  </mergeCells>
  <conditionalFormatting sqref="B3:B52">
    <cfRule type="beginsWith" dxfId="44" priority="3" operator="beginsWith" text="leader">
      <formula>LEFT(B3,LEN("leader"))="leader"</formula>
    </cfRule>
    <cfRule type="containsText" dxfId="43" priority="4" operator="containsText" text="coLeader">
      <formula>NOT(ISERROR(SEARCH("coLeader",B3)))</formula>
    </cfRule>
    <cfRule type="containsText" dxfId="42" priority="5" operator="containsText" text="admin">
      <formula>NOT(ISERROR(SEARCH("admin",B3)))</formula>
    </cfRule>
    <cfRule type="containsText" dxfId="41" priority="6" operator="containsText" text="member">
      <formula>NOT(ISERROR(SEARCH("member",B3)))</formula>
    </cfRule>
  </conditionalFormatting>
  <conditionalFormatting sqref="J3:W53">
    <cfRule type="cellIs" dxfId="40" priority="2" operator="lessThan">
      <formula>0</formula>
    </cfRule>
  </conditionalFormatting>
  <conditionalFormatting sqref="I54:W1048576 I2:W52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{99E438EA-E4A7-4F17-94B1-7216C05AEBA3}</x14:id>
        </ext>
      </extLst>
    </cfRule>
  </conditionalFormatting>
  <conditionalFormatting sqref="I3:W52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{96A6A6BB-C3DC-4BE3-A0D0-06CA5AF9FEE3}</x14:id>
        </ext>
      </extLst>
    </cfRule>
  </conditionalFormatting>
  <conditionalFormatting sqref="L3:R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C4" r:id="rId1"/>
    <hyperlink ref="AC5" r:id="rId2" location="clanTag=VQPVPJ09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GetJSON">
                <anchor moveWithCells="1" sizeWithCells="1">
                  <from>
                    <xdr:col>23</xdr:col>
                    <xdr:colOff>19050</xdr:colOff>
                    <xdr:row>2</xdr:row>
                    <xdr:rowOff>0</xdr:rowOff>
                  </from>
                  <to>
                    <xdr:col>27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ClanListeLeeren">
                <anchor moveWithCells="1" sizeWithCells="1">
                  <from>
                    <xdr:col>23</xdr:col>
                    <xdr:colOff>28575</xdr:colOff>
                    <xdr:row>7</xdr:row>
                    <xdr:rowOff>0</xdr:rowOff>
                  </from>
                  <to>
                    <xdr:col>27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8" name="Button 3">
              <controlPr defaultSize="0" print="0" autoFill="0" autoPict="0" macro="[0]!sortierenSpenden">
                <anchor moveWithCells="1" sizeWithCells="1">
                  <from>
                    <xdr:col>23</xdr:col>
                    <xdr:colOff>28575</xdr:colOff>
                    <xdr:row>12</xdr:row>
                    <xdr:rowOff>66675</xdr:rowOff>
                  </from>
                  <to>
                    <xdr:col>27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9" name="Button 4">
              <controlPr defaultSize="0" print="0" autoFill="0" autoPict="0" macro="[0]!sortierenTrophäen">
                <anchor moveWithCells="1" sizeWithCells="1">
                  <from>
                    <xdr:col>23</xdr:col>
                    <xdr:colOff>38100</xdr:colOff>
                    <xdr:row>31</xdr:row>
                    <xdr:rowOff>28575</xdr:rowOff>
                  </from>
                  <to>
                    <xdr:col>27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0" name="Button 5">
              <controlPr defaultSize="0" print="0" autoFill="0" autoPict="0" macro="[0]!PDFExport">
                <anchor moveWithCells="1" sizeWithCells="1">
                  <from>
                    <xdr:col>23</xdr:col>
                    <xdr:colOff>38100</xdr:colOff>
                    <xdr:row>37</xdr:row>
                    <xdr:rowOff>76200</xdr:rowOff>
                  </from>
                  <to>
                    <xdr:col>27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1" name="Button 6">
              <controlPr defaultSize="0" print="0" autoFill="0" autoPict="0" macro="[0]!sortierenGespendet">
                <anchor moveWithCells="1" sizeWithCells="1">
                  <from>
                    <xdr:col>23</xdr:col>
                    <xdr:colOff>28575</xdr:colOff>
                    <xdr:row>18</xdr:row>
                    <xdr:rowOff>95250</xdr:rowOff>
                  </from>
                  <to>
                    <xdr:col>27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2" name="Button 7">
              <controlPr defaultSize="0" print="0" autoFill="0" autoPict="0" macro="[0]!sortierenSpendenErhalten">
                <anchor moveWithCells="1" sizeWithCells="1">
                  <from>
                    <xdr:col>23</xdr:col>
                    <xdr:colOff>38100</xdr:colOff>
                    <xdr:row>24</xdr:row>
                    <xdr:rowOff>104775</xdr:rowOff>
                  </from>
                  <to>
                    <xdr:col>27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3" name="Button 8">
              <controlPr defaultSize="0" print="0" autoFill="0" autoPict="0" macro="[0]!sortierenSpendenbudget">
                <anchor moveWithCells="1" sizeWithCells="1">
                  <from>
                    <xdr:col>27</xdr:col>
                    <xdr:colOff>304800</xdr:colOff>
                    <xdr:row>12</xdr:row>
                    <xdr:rowOff>66675</xdr:rowOff>
                  </from>
                  <to>
                    <xdr:col>30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E438EA-E4A7-4F17-94B1-7216C05AEB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I54:W1048576 I2:W52</xm:sqref>
        </x14:conditionalFormatting>
        <x14:conditionalFormatting xmlns:xm="http://schemas.microsoft.com/office/excel/2006/main">
          <x14:cfRule type="dataBar" id="{96A6A6BB-C3DC-4BE3-A0D0-06CA5AF9FE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I3:W52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4</vt:i4>
      </vt:variant>
    </vt:vector>
  </HeadingPairs>
  <TitlesOfParts>
    <vt:vector size="7" baseType="lpstr">
      <vt:lpstr>Clanübersicht</vt:lpstr>
      <vt:lpstr>Tabelle1</vt:lpstr>
      <vt:lpstr>CKL</vt:lpstr>
      <vt:lpstr>CKL!APIurl</vt:lpstr>
      <vt:lpstr>APIurl</vt:lpstr>
      <vt:lpstr>CKL!Druckbereich</vt:lpstr>
      <vt:lpstr>Clanübersicht!Druckbereich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p.waitz@gmx.de</cp:lastModifiedBy>
  <dcterms:created xsi:type="dcterms:W3CDTF">2006-09-16T00:00:00Z</dcterms:created>
  <dcterms:modified xsi:type="dcterms:W3CDTF">2021-01-08T10:36:37Z</dcterms:modified>
</cp:coreProperties>
</file>