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Github\Clash_of_Clans\"/>
    </mc:Choice>
  </mc:AlternateContent>
  <xr:revisionPtr revIDLastSave="0" documentId="13_ncr:1_{92880A77-8920-46CA-A7A7-45D101C4B17A}" xr6:coauthVersionLast="47" xr6:coauthVersionMax="47" xr10:uidLastSave="{00000000-0000-0000-0000-000000000000}"/>
  <bookViews>
    <workbookView xWindow="-240" yWindow="-240" windowWidth="29040" windowHeight="15840" xr2:uid="{00000000-000D-0000-FFFF-FFFF00000000}"/>
  </bookViews>
  <sheets>
    <sheet name="Clanübersicht" sheetId="1" r:id="rId1"/>
    <sheet name="CKL" sheetId="4" r:id="rId2"/>
  </sheets>
  <functionGroups builtInGroupCount="19"/>
  <definedNames>
    <definedName name="_xlnm._FilterDatabase" localSheetId="0" hidden="1">Clanübersicht!$A$2:$I$56</definedName>
    <definedName name="APIurl">Clanübersicht!$AC$4</definedName>
    <definedName name="_xlnm.Print_Area" localSheetId="0">Clanübersicht!$A$1:$J$53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" i="1" l="1"/>
  <c r="J13" i="1"/>
  <c r="J9" i="1"/>
  <c r="J34" i="1"/>
  <c r="J21" i="1"/>
  <c r="J6" i="1"/>
  <c r="J41" i="1"/>
  <c r="J14" i="1"/>
  <c r="J22" i="1"/>
  <c r="J40" i="1"/>
  <c r="J12" i="1"/>
  <c r="J3" i="1"/>
  <c r="J25" i="1"/>
  <c r="J52" i="1"/>
  <c r="J30" i="1"/>
  <c r="J4" i="1"/>
  <c r="J31" i="1"/>
  <c r="J32" i="1"/>
  <c r="J27" i="1"/>
  <c r="J39" i="1"/>
  <c r="J10" i="1"/>
  <c r="J8" i="1"/>
  <c r="J51" i="1"/>
  <c r="J16" i="1"/>
  <c r="J19" i="1"/>
  <c r="J48" i="1"/>
  <c r="J5" i="1"/>
  <c r="J26" i="1"/>
  <c r="J49" i="1"/>
  <c r="J18" i="1"/>
  <c r="J43" i="1"/>
  <c r="J11" i="1"/>
  <c r="J38" i="1"/>
  <c r="J35" i="1"/>
  <c r="J24" i="1"/>
  <c r="J15" i="1"/>
  <c r="J33" i="1"/>
  <c r="J36" i="1"/>
  <c r="J29" i="1"/>
  <c r="J20" i="1"/>
  <c r="J46" i="1"/>
  <c r="J47" i="1"/>
  <c r="J42" i="1"/>
  <c r="J37" i="1"/>
  <c r="J28" i="1"/>
  <c r="J17" i="1"/>
  <c r="J7" i="1"/>
  <c r="J44" i="1"/>
  <c r="J50" i="1"/>
  <c r="J45" i="1"/>
  <c r="J1" i="1"/>
  <c r="I15" i="1"/>
  <c r="I17" i="1"/>
  <c r="I11" i="1"/>
  <c r="I41" i="1"/>
  <c r="I8" i="1"/>
  <c r="I43" i="1"/>
  <c r="I20" i="1"/>
  <c r="I3" i="1"/>
  <c r="I12" i="1"/>
  <c r="I6" i="1"/>
  <c r="I32" i="1"/>
  <c r="I19" i="1"/>
  <c r="I47" i="1"/>
  <c r="I37" i="1"/>
  <c r="I46" i="1"/>
  <c r="I7" i="1"/>
  <c r="I35" i="1"/>
  <c r="I49" i="1"/>
  <c r="I38" i="1"/>
  <c r="I25" i="1"/>
  <c r="I51" i="1"/>
  <c r="I45" i="1"/>
  <c r="I18" i="1"/>
  <c r="I13" i="1"/>
  <c r="I27" i="1"/>
  <c r="I24" i="1"/>
  <c r="I14" i="1"/>
  <c r="I26" i="1"/>
  <c r="I4" i="1"/>
  <c r="I21" i="1"/>
  <c r="I16" i="1"/>
  <c r="I36" i="1"/>
  <c r="I33" i="1"/>
  <c r="I10" i="1"/>
  <c r="I29" i="1"/>
  <c r="I34" i="1"/>
  <c r="I39" i="1"/>
  <c r="I31" i="1"/>
  <c r="I30" i="1"/>
  <c r="I23" i="1"/>
  <c r="I42" i="1"/>
  <c r="I22" i="1"/>
  <c r="I5" i="1"/>
  <c r="I48" i="1"/>
  <c r="I40" i="1"/>
  <c r="I52" i="1"/>
  <c r="I28" i="1"/>
  <c r="I44" i="1"/>
  <c r="I50" i="1"/>
  <c r="I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D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<sst xmlns="http://schemas.openxmlformats.org/spreadsheetml/2006/main" count="120" uniqueCount="76">
  <si>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</si>
  <si>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</si>
  <si>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</si>
  <si>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</si>
  <si>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</si>
  <si>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</si>
  <si>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</si>
  <si>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</si>
  <si>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</si>
  <si>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</si>
  <si>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</si>
  <si>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</si>
  <si>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</si>
  <si>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</si>
  <si>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t>VQPVPJ09</t>
  </si>
  <si>
    <t>CK 1 Angriff</t>
  </si>
  <si>
    <t>CK2 Angriff</t>
  </si>
  <si>
    <t>CK3 Angriff</t>
  </si>
  <si>
    <t>CK4 Angriff</t>
  </si>
  <si>
    <t>CK5 Angriff</t>
  </si>
  <si>
    <t>CK6 Angriff</t>
  </si>
  <si>
    <t>CK7 Angriff</t>
  </si>
  <si>
    <t>https://api.clashofclans.com/v1/clans/VQPVPJ09/warlog</t>
  </si>
  <si>
    <t>Warlog</t>
  </si>
  <si>
    <t>CKL Nr</t>
  </si>
  <si>
    <r>
      <rPr>
        <b/>
        <sz val="11"/>
        <rFont val="Calibri"/>
        <family val="2"/>
        <scheme val="minor"/>
      </rPr>
      <t>Clan Tag:</t>
    </r>
    <r>
      <rPr>
        <sz val="11"/>
        <rFont val="Calibri"/>
        <family val="2"/>
        <scheme val="minor"/>
      </rPr>
      <t xml:space="preserve"> </t>
    </r>
  </si>
  <si>
    <t>Asarius</t>
  </si>
  <si>
    <t>coLeader</t>
  </si>
  <si>
    <t>MeisterHo</t>
  </si>
  <si>
    <t>Mogli</t>
  </si>
  <si>
    <t>jojoschnuppe</t>
  </si>
  <si>
    <t>admin</t>
  </si>
  <si>
    <t>Asaretto</t>
  </si>
  <si>
    <t>Garun Windtotem</t>
  </si>
  <si>
    <t>leader</t>
  </si>
  <si>
    <t>Finster KÃ¶nig</t>
  </si>
  <si>
    <t>HXGX</t>
  </si>
  <si>
    <t>Beatle</t>
  </si>
  <si>
    <t>DYLAN DOG</t>
  </si>
  <si>
    <t>member</t>
  </si>
  <si>
    <t>EL-SE 989</t>
  </si>
  <si>
    <t>mig027</t>
  </si>
  <si>
    <t>JulEhr</t>
  </si>
  <si>
    <t>Jurich</t>
  </si>
  <si>
    <t>Ben7580</t>
  </si>
  <si>
    <t>â«ï¸PTLâ«ï¸NoÃ©l</t>
  </si>
  <si>
    <t>PPnormous</t>
  </si>
  <si>
    <t>Bick</t>
  </si>
  <si>
    <t>Anton2517</t>
  </si>
  <si>
    <t>slav</t>
  </si>
  <si>
    <t>Matte</t>
  </si>
  <si>
    <t>Schofseckel</t>
  </si>
  <si>
    <t>-Akaza-</t>
  </si>
  <si>
    <t>Julius</t>
  </si>
  <si>
    <t>MBoss</t>
  </si>
  <si>
    <t>jonas Lp</t>
  </si>
  <si>
    <t>Luca</t>
  </si>
  <si>
    <t>nico</t>
  </si>
  <si>
    <t>Satchy</t>
  </si>
  <si>
    <t>Electric Dragon</t>
  </si>
  <si>
    <t>tt</t>
  </si>
  <si>
    <t>WasBeiDirHee</t>
  </si>
  <si>
    <t>HeroEnes</t>
  </si>
  <si>
    <t>babobest</t>
  </si>
  <si>
    <t>eS~Bl4k~B1rD~</t>
  </si>
  <si>
    <t>Lucifer</t>
  </si>
  <si>
    <t>basel</t>
  </si>
  <si>
    <t>Artjom</t>
  </si>
  <si>
    <t>Fatjan2003</t>
  </si>
  <si>
    <t>ThE_SkIlZzDaRk</t>
  </si>
  <si>
    <t>Smoke</t>
  </si>
  <si>
    <t>Fabrizio</t>
  </si>
  <si>
    <t>lukaz</t>
  </si>
  <si>
    <t>should I</t>
  </si>
  <si>
    <t>Feuermann PÃ¶hli</t>
  </si>
  <si>
    <t>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</si>
</sst>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_€_-;\-* #,##0.00\ _€_-;_-* &quot;-&quot;??\ _€_-;_-@_-"/>
    <numFmt numFmtId="165" formatCode="_-* #,##0\ _€_-;\-* #,##0\ _€_-;_-* &quot;-&quot;??\ _€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29">
    <xf numFmtId="0" fontId="0" fillId="0" borderId="0" xfId="0"/>
    <xf numFmtId="9" fontId="0" fillId="0" borderId="0" xfId="1" applyFont="1"/>
    <xf numFmtId="0" fontId="2" fillId="0" borderId="0" xfId="0" applyFont="1"/>
    <xf numFmtId="165" fontId="0" fillId="0" borderId="0" xfId="3" applyNumberFormat="1" applyFont="1"/>
    <xf numFmtId="165" fontId="0" fillId="0" borderId="0" xfId="3" applyNumberFormat="1" applyFont="1" applyFill="1"/>
    <xf numFmtId="14" fontId="0" fillId="0" borderId="0" xfId="0" applyNumberFormat="1"/>
    <xf numFmtId="14" fontId="5" fillId="0" borderId="0" xfId="0" applyNumberFormat="1" applyFont="1"/>
    <xf numFmtId="0" fontId="6" fillId="2" borderId="0" xfId="0" applyFont="1" applyFill="1" applyAlignment="1">
      <alignment wrapText="1"/>
    </xf>
    <xf numFmtId="165" fontId="6" fillId="2" borderId="0" xfId="3" applyNumberFormat="1" applyFont="1" applyFill="1" applyBorder="1" applyAlignment="1">
      <alignment wrapText="1"/>
    </xf>
    <xf numFmtId="9" fontId="6" fillId="2" borderId="0" xfId="1" applyFont="1" applyFill="1" applyBorder="1" applyAlignment="1">
      <alignment wrapText="1"/>
    </xf>
    <xf numFmtId="165" fontId="6" fillId="2" borderId="1" xfId="3" applyNumberFormat="1" applyFont="1" applyFill="1" applyBorder="1" applyAlignment="1">
      <alignment wrapText="1"/>
    </xf>
    <xf numFmtId="165" fontId="6" fillId="0" borderId="0" xfId="3" applyNumberFormat="1" applyFont="1" applyFill="1" applyBorder="1" applyAlignment="1">
      <alignment wrapText="1"/>
    </xf>
    <xf numFmtId="0" fontId="12" fillId="0" borderId="0" xfId="0" applyFont="1"/>
    <xf numFmtId="165" fontId="12" fillId="0" borderId="0" xfId="3" applyNumberFormat="1" applyFont="1" applyFill="1"/>
    <xf numFmtId="165" fontId="13" fillId="0" borderId="0" xfId="3" applyNumberFormat="1" applyFont="1" applyFill="1" applyBorder="1"/>
    <xf numFmtId="165" fontId="12" fillId="0" borderId="0" xfId="3" applyNumberFormat="1" applyFont="1" applyFill="1" applyBorder="1"/>
    <xf numFmtId="9" fontId="12" fillId="0" borderId="0" xfId="1" applyFont="1" applyFill="1" applyBorder="1"/>
    <xf numFmtId="0" fontId="13" fillId="0" borderId="2" xfId="0" applyFont="1" applyBorder="1"/>
    <xf numFmtId="0" fontId="12" fillId="0" borderId="3" xfId="0" applyFont="1" applyBorder="1"/>
    <xf numFmtId="0" fontId="13" fillId="0" borderId="0" xfId="0" applyFont="1"/>
    <xf numFmtId="0" fontId="14" fillId="0" borderId="4" xfId="2" applyFont="1" applyFill="1" applyBorder="1" applyAlignment="1">
      <alignment horizontal="right"/>
    </xf>
    <xf numFmtId="0" fontId="12" fillId="0" borderId="5" xfId="0" applyFont="1" applyBorder="1"/>
    <xf numFmtId="0" fontId="12" fillId="0" borderId="6" xfId="0" applyFont="1" applyBorder="1" applyAlignment="1">
      <alignment horizontal="right"/>
    </xf>
    <xf numFmtId="0" fontId="12" fillId="0" borderId="7" xfId="0" applyFont="1" applyBorder="1"/>
    <xf numFmtId="0" fontId="14" fillId="0" borderId="0" xfId="2" applyFont="1" applyFill="1"/>
    <xf numFmtId="165" fontId="12" fillId="0" borderId="0" xfId="0" applyNumberFormat="1" applyFont="1"/>
    <xf numFmtId="9" fontId="12" fillId="0" borderId="0" xfId="0" applyNumberFormat="1" applyFont="1"/>
    <xf numFmtId="9" fontId="12" fillId="0" borderId="0" xfId="1" applyFont="1" applyFill="1"/>
    <xf numFmtId="0" fontId="4" fillId="0" borderId="0" xfId="0" applyFont="1" applyAlignment="1">
      <alignment horizontal="center"/>
    </xf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 xr9:uid="{00000000-0011-0000-FFFF-FFFF00000000}">
      <tableStyleElement type="wholeTable" dxfId="47"/>
      <tableStyleElement type="headerRow" dxfId="46"/>
      <tableStyleElement type="totalRow" dxfId="45"/>
      <tableStyleElement type="firstRowStripe" dxfId="44"/>
    </tableStyle>
  </tableStyles>
  <colors>
    <mruColors>
      <color rgb="FF01AF37"/>
      <color rgb="FF0066FF"/>
      <color rgb="FF2AFE6C"/>
      <color rgb="FF2800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</xdr:row>
          <xdr:rowOff>0</xdr:rowOff>
        </xdr:from>
        <xdr:to>
          <xdr:col>27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7</xdr:row>
          <xdr:rowOff>0</xdr:rowOff>
        </xdr:from>
        <xdr:to>
          <xdr:col>27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12</xdr:row>
          <xdr:rowOff>66675</xdr:rowOff>
        </xdr:from>
        <xdr:to>
          <xdr:col>27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31</xdr:row>
          <xdr:rowOff>28575</xdr:rowOff>
        </xdr:from>
        <xdr:to>
          <xdr:col>27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37</xdr:row>
          <xdr:rowOff>76200</xdr:rowOff>
        </xdr:from>
        <xdr:to>
          <xdr:col>27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18</xdr:row>
          <xdr:rowOff>95250</xdr:rowOff>
        </xdr:from>
        <xdr:to>
          <xdr:col>27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24</xdr:row>
          <xdr:rowOff>104775</xdr:rowOff>
        </xdr:from>
        <xdr:to>
          <xdr:col>27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12</xdr:row>
          <xdr:rowOff>66675</xdr:rowOff>
        </xdr:from>
        <xdr:to>
          <xdr:col>30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e2" displayName="Tabelle2" ref="A2:R53" totalsRowCount="1" headerRowDxfId="37" tableBorderDxfId="36">
  <autoFilter ref="A2:R52" xr:uid="{00000000-0009-0000-0100-000002000000}"/>
  <sortState xmlns:xlrd2="http://schemas.microsoft.com/office/spreadsheetml/2017/richdata2" ref="A3:R52">
    <sortCondition descending="1" ref="C2:C52"/>
  </sortState>
  <tableColumns count="18">
    <tableColumn id="1" xr3:uid="{00000000-0010-0000-0000-000001000000}" name="Name" dataDxfId="35" totalsRowDxfId="17"/>
    <tableColumn id="2" xr3:uid="{00000000-0010-0000-0000-000002000000}" name="Rolle" dataDxfId="34" totalsRowDxfId="16"/>
    <tableColumn id="3" xr3:uid="{00000000-0010-0000-0000-000003000000}" name="EP_x000a_Punkte" dataDxfId="33" totalsRowDxfId="15"/>
    <tableColumn id="4" xr3:uid="{00000000-0010-0000-0000-000004000000}" name="Trophäen" dataDxfId="32" totalsRowDxfId="14" dataCellStyle="Komma"/>
    <tableColumn id="5" xr3:uid="{00000000-0010-0000-0000-000005000000}" name="Clan Rang Neu" dataDxfId="31" totalsRowDxfId="13"/>
    <tableColumn id="6" xr3:uid="{00000000-0010-0000-0000-000006000000}" name="Clan Rang Bisher" dataDxfId="30" totalsRowDxfId="12"/>
    <tableColumn id="7" xr3:uid="{00000000-0010-0000-0000-000007000000}" name="Gespendet" dataDxfId="29" totalsRowDxfId="11" dataCellStyle="Komma"/>
    <tableColumn id="8" xr3:uid="{00000000-0010-0000-0000-000008000000}" name="Spenden erhalten" dataDxfId="28" totalsRowDxfId="10" dataCellStyle="Komma"/>
    <tableColumn id="9" xr3:uid="{00000000-0010-0000-0000-000009000000}" name="Spendenverhältnis" dataDxfId="27" totalsRowDxfId="9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xr3:uid="{00000000-0010-0000-0000-00000A000000}" name="Spendenbudget" dataDxfId="26" totalsRowDxfId="8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8" xr3:uid="{EBA412CD-8151-4547-A99C-B1485BCE5340}" name="CKL Nr" dataDxfId="25" totalsRowDxfId="7" dataCellStyle="Komma"/>
    <tableColumn id="11" xr3:uid="{00000000-0010-0000-0000-00000B000000}" name="CK 1 Angriff" dataDxfId="24" totalsRowDxfId="6" dataCellStyle="Komma"/>
    <tableColumn id="12" xr3:uid="{00000000-0010-0000-0000-00000C000000}" name="CK2 Angriff" dataDxfId="23" totalsRowDxfId="5" dataCellStyle="Komma"/>
    <tableColumn id="16" xr3:uid="{00000000-0010-0000-0000-000010000000}" name="CK3 Angriff" dataDxfId="22" totalsRowDxfId="4" dataCellStyle="Komma"/>
    <tableColumn id="15" xr3:uid="{00000000-0010-0000-0000-00000F000000}" name="CK4 Angriff" dataDxfId="21" totalsRowDxfId="3" dataCellStyle="Komma"/>
    <tableColumn id="14" xr3:uid="{00000000-0010-0000-0000-00000E000000}" name="CK5 Angriff" dataDxfId="20" totalsRowDxfId="2" dataCellStyle="Komma"/>
    <tableColumn id="17" xr3:uid="{00000000-0010-0000-0000-000011000000}" name="CK6 Angriff" dataDxfId="19" totalsRowDxfId="1" dataCellStyle="Komma"/>
    <tableColumn id="13" xr3:uid="{00000000-0010-0000-0000-00000D000000}" name="CK7 Angriff" dataDxfId="18" totalsRowDxfId="0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s://api.clashofclans.com/v1/clans/VQPVPJ09/warlog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s://clashofclans.com/clans/search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lan">
    <pageSetUpPr fitToPage="1"/>
  </sheetPr>
  <dimension ref="A1:AE56"/>
  <sheetViews>
    <sheetView showGridLines="0" tabSelected="1" topLeftCell="B1" zoomScaleNormal="100" workbookViewId="0">
      <selection activeCell="O5" sqref="O5"/>
    </sheetView>
  </sheetViews>
  <sheetFormatPr baseColWidth="10" defaultColWidth="9.140625" defaultRowHeight="15" x14ac:dyDescent="0.25"/>
  <cols>
    <col min="1" max="1" width="20.85546875" style="12" customWidth="1"/>
    <col min="2" max="2" width="9" bestFit="1" customWidth="1"/>
    <col min="3" max="3" width="8" bestFit="1" customWidth="1"/>
    <col min="4" max="4" width="11" style="3" bestFit="1" customWidth="1"/>
    <col min="5" max="5" width="10.85546875" customWidth="1"/>
    <col min="6" max="6" width="11.85546875" bestFit="1" customWidth="1"/>
    <col min="7" max="7" width="16.28515625" style="3" customWidth="1"/>
    <col min="8" max="8" width="14.5703125" style="3" customWidth="1"/>
    <col min="9" max="9" width="20.140625" style="1" bestFit="1" customWidth="1"/>
    <col min="10" max="10" width="20.140625" style="3" customWidth="1"/>
    <col min="11" max="11" width="10.28515625" style="3" bestFit="1" customWidth="1"/>
    <col min="12" max="12" width="14" style="3" bestFit="1" customWidth="1"/>
    <col min="13" max="18" width="13.5703125" style="3" bestFit="1" customWidth="1"/>
    <col min="19" max="22" width="7" style="4" customWidth="1"/>
    <col min="23" max="23" width="6.85546875" style="4" customWidth="1"/>
    <col min="29" max="29" width="17.140625" bestFit="1" customWidth="1"/>
    <col min="30" max="30" width="11" bestFit="1" customWidth="1"/>
    <col min="31" max="31" width="12.5703125" bestFit="1" customWidth="1"/>
  </cols>
  <sheetData>
    <row r="1" spans="1:31" ht="36" x14ac:dyDescent="0.55000000000000004">
      <c r="A1" s="28" t="s">
        <v>6</v>
      </c>
      <c r="B1" s="28"/>
      <c r="C1" s="28"/>
      <c r="D1" s="28"/>
      <c r="E1" s="28"/>
      <c r="F1" s="28"/>
      <c r="G1" s="28"/>
      <c r="H1" s="28"/>
      <c r="I1" s="28"/>
      <c r="J1" s="6">
        <f ca="1">TODAY()</f>
        <v>45129</v>
      </c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AC1" s="5"/>
    </row>
    <row r="2" spans="1:31" s="2" customFormat="1" ht="30.75" thickBot="1" x14ac:dyDescent="0.3">
      <c r="A2" s="7" t="s">
        <v>0</v>
      </c>
      <c r="B2" s="7" t="s">
        <v>12</v>
      </c>
      <c r="C2" s="7" t="s">
        <v>9</v>
      </c>
      <c r="D2" s="8" t="s">
        <v>7</v>
      </c>
      <c r="E2" s="7" t="s">
        <v>10</v>
      </c>
      <c r="F2" s="7" t="s">
        <v>11</v>
      </c>
      <c r="G2" s="8" t="s">
        <v>8</v>
      </c>
      <c r="H2" s="8" t="s">
        <v>2</v>
      </c>
      <c r="I2" s="9" t="s">
        <v>1</v>
      </c>
      <c r="J2" s="10" t="s">
        <v>13</v>
      </c>
      <c r="K2" s="10" t="s">
        <v>24</v>
      </c>
      <c r="L2" s="10" t="s">
        <v>15</v>
      </c>
      <c r="M2" s="10" t="s">
        <v>16</v>
      </c>
      <c r="N2" s="10" t="s">
        <v>17</v>
      </c>
      <c r="O2" s="10" t="s">
        <v>18</v>
      </c>
      <c r="P2" s="10" t="s">
        <v>19</v>
      </c>
      <c r="Q2" s="10" t="s">
        <v>20</v>
      </c>
      <c r="R2" s="10" t="s">
        <v>21</v>
      </c>
      <c r="S2" s="11"/>
      <c r="T2" s="11"/>
      <c r="U2" s="11"/>
      <c r="V2" s="11"/>
      <c r="W2" s="11"/>
    </row>
    <row r="3" spans="1:31" s="12" customFormat="1" x14ac:dyDescent="0.25">
      <c r="A3" s="12" t="s">
        <v>26</v>
      </c>
      <c r="B3" s="12" t="s">
        <v>27</v>
      </c>
      <c r="C3" s="12">
        <v>241</v>
      </c>
      <c r="D3" s="13">
        <v>5448</v>
      </c>
      <c r="E3" s="12">
        <v>1</v>
      </c>
      <c r="F3" s="12">
        <v>1</v>
      </c>
      <c r="G3" s="14">
        <v>5487</v>
      </c>
      <c r="H3" s="15">
        <v>7915</v>
      </c>
      <c r="I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0.69324068224889446</v>
      </c>
      <c r="J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8546</v>
      </c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AC3" s="17" t="s">
        <v>5</v>
      </c>
      <c r="AD3" s="18"/>
      <c r="AE3" s="19"/>
    </row>
    <row r="4" spans="1:31" s="12" customFormat="1" x14ac:dyDescent="0.25">
      <c r="A4" s="12" t="s">
        <v>28</v>
      </c>
      <c r="B4" s="12" t="s">
        <v>27</v>
      </c>
      <c r="C4" s="12">
        <v>232</v>
      </c>
      <c r="D4" s="13">
        <v>5424</v>
      </c>
      <c r="E4" s="12">
        <v>2</v>
      </c>
      <c r="F4" s="12">
        <v>2</v>
      </c>
      <c r="G4" s="14">
        <v>5073</v>
      </c>
      <c r="H4" s="15">
        <v>6591</v>
      </c>
      <c r="I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0.76968593536640872</v>
      </c>
      <c r="J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8628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AC4" s="20" t="s">
        <v>3</v>
      </c>
      <c r="AD4" s="21"/>
      <c r="AE4" s="19"/>
    </row>
    <row r="5" spans="1:31" s="12" customFormat="1" x14ac:dyDescent="0.25">
      <c r="A5" s="12" t="s">
        <v>61</v>
      </c>
      <c r="B5" s="12" t="s">
        <v>39</v>
      </c>
      <c r="C5" s="12">
        <v>186</v>
      </c>
      <c r="D5" s="13">
        <v>4976</v>
      </c>
      <c r="E5" s="12">
        <v>3</v>
      </c>
      <c r="F5" s="12">
        <v>3</v>
      </c>
      <c r="G5" s="14">
        <v>5495</v>
      </c>
      <c r="H5" s="15">
        <v>3173</v>
      </c>
      <c r="I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1.7317995587771824</v>
      </c>
      <c r="J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13312</v>
      </c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AC5" s="20" t="s">
        <v>4</v>
      </c>
      <c r="AD5" s="21"/>
    </row>
    <row r="6" spans="1:31" s="12" customFormat="1" ht="15.75" thickBot="1" x14ac:dyDescent="0.3">
      <c r="A6" s="12" t="s">
        <v>29</v>
      </c>
      <c r="B6" s="12" t="s">
        <v>27</v>
      </c>
      <c r="C6" s="12">
        <v>182</v>
      </c>
      <c r="D6" s="13">
        <v>4880</v>
      </c>
      <c r="E6" s="12">
        <v>4</v>
      </c>
      <c r="F6" s="12">
        <v>4</v>
      </c>
      <c r="G6" s="14">
        <v>370</v>
      </c>
      <c r="H6" s="15">
        <v>2556</v>
      </c>
      <c r="I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0.14475743348982786</v>
      </c>
      <c r="J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-482</v>
      </c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AC6" s="22" t="s">
        <v>25</v>
      </c>
      <c r="AD6" s="23" t="s">
        <v>14</v>
      </c>
    </row>
    <row r="7" spans="1:31" s="12" customFormat="1" x14ac:dyDescent="0.25">
      <c r="A7" s="12" t="s">
        <v>32</v>
      </c>
      <c r="B7" s="12" t="s">
        <v>27</v>
      </c>
      <c r="C7" s="12">
        <v>216</v>
      </c>
      <c r="D7" s="13">
        <v>4553</v>
      </c>
      <c r="E7" s="12">
        <v>5</v>
      </c>
      <c r="F7" s="12">
        <v>5</v>
      </c>
      <c r="G7" s="14">
        <v>6109</v>
      </c>
      <c r="H7" s="15">
        <v>3024</v>
      </c>
      <c r="I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2.0201719576719577</v>
      </c>
      <c r="J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15303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</row>
    <row r="8" spans="1:31" s="12" customFormat="1" x14ac:dyDescent="0.25">
      <c r="A8" s="12" t="s">
        <v>35</v>
      </c>
      <c r="B8" s="12" t="s">
        <v>31</v>
      </c>
      <c r="C8" s="12">
        <v>210</v>
      </c>
      <c r="D8" s="15">
        <v>4544</v>
      </c>
      <c r="E8" s="12">
        <v>6</v>
      </c>
      <c r="F8" s="12">
        <v>6</v>
      </c>
      <c r="G8" s="14">
        <v>924</v>
      </c>
      <c r="H8" s="15">
        <v>2992</v>
      </c>
      <c r="I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0.30882352941176472</v>
      </c>
      <c r="J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-73.333333333333371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AC8" s="12" t="s">
        <v>23</v>
      </c>
      <c r="AD8" s="24" t="s">
        <v>22</v>
      </c>
    </row>
    <row r="9" spans="1:31" s="12" customFormat="1" x14ac:dyDescent="0.25">
      <c r="A9" s="12" t="s">
        <v>30</v>
      </c>
      <c r="B9" s="12" t="s">
        <v>31</v>
      </c>
      <c r="C9" s="12">
        <v>192</v>
      </c>
      <c r="D9" s="13">
        <v>4531</v>
      </c>
      <c r="E9" s="12">
        <v>7</v>
      </c>
      <c r="F9" s="12">
        <v>7</v>
      </c>
      <c r="G9" s="14">
        <v>2045</v>
      </c>
      <c r="H9" s="15">
        <v>4885</v>
      </c>
      <c r="I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0.41862845445240532</v>
      </c>
      <c r="J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1250</v>
      </c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</row>
    <row r="10" spans="1:31" s="12" customFormat="1" x14ac:dyDescent="0.25">
      <c r="A10" s="12" t="s">
        <v>37</v>
      </c>
      <c r="B10" s="12" t="s">
        <v>27</v>
      </c>
      <c r="C10" s="12">
        <v>236</v>
      </c>
      <c r="D10" s="15">
        <v>4449</v>
      </c>
      <c r="E10" s="12">
        <v>8</v>
      </c>
      <c r="F10" s="12">
        <v>8</v>
      </c>
      <c r="G10" s="14">
        <v>2564</v>
      </c>
      <c r="H10" s="15">
        <v>0</v>
      </c>
      <c r="I1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7692</v>
      </c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</row>
    <row r="11" spans="1:31" s="12" customFormat="1" x14ac:dyDescent="0.25">
      <c r="A11" s="12" t="s">
        <v>33</v>
      </c>
      <c r="B11" s="12" t="s">
        <v>34</v>
      </c>
      <c r="C11" s="12">
        <v>227</v>
      </c>
      <c r="D11" s="13">
        <v>4340</v>
      </c>
      <c r="E11" s="12">
        <v>9</v>
      </c>
      <c r="F11" s="12">
        <v>9</v>
      </c>
      <c r="G11" s="14">
        <v>3764</v>
      </c>
      <c r="H11" s="15">
        <v>1803</v>
      </c>
      <c r="I1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2.0876317249029395</v>
      </c>
      <c r="J1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9489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</row>
    <row r="12" spans="1:31" s="12" customFormat="1" x14ac:dyDescent="0.25">
      <c r="A12" s="12" t="s">
        <v>40</v>
      </c>
      <c r="B12" s="12" t="s">
        <v>27</v>
      </c>
      <c r="C12" s="12">
        <v>238</v>
      </c>
      <c r="D12" s="13">
        <v>4018</v>
      </c>
      <c r="E12" s="12">
        <v>10</v>
      </c>
      <c r="F12" s="12">
        <v>10</v>
      </c>
      <c r="G12" s="14">
        <v>48</v>
      </c>
      <c r="H12" s="15">
        <v>249</v>
      </c>
      <c r="I1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0.19277108433734941</v>
      </c>
      <c r="J1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-35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</row>
    <row r="13" spans="1:31" s="12" customFormat="1" x14ac:dyDescent="0.25">
      <c r="A13" s="12" t="s">
        <v>41</v>
      </c>
      <c r="B13" s="12" t="s">
        <v>39</v>
      </c>
      <c r="C13" s="12">
        <v>150</v>
      </c>
      <c r="D13" s="15">
        <v>3963</v>
      </c>
      <c r="E13" s="12">
        <v>11</v>
      </c>
      <c r="F13" s="12">
        <v>12</v>
      </c>
      <c r="G13" s="14">
        <v>0</v>
      </c>
      <c r="H13" s="15">
        <v>322</v>
      </c>
      <c r="I1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-107.33333333333333</v>
      </c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</row>
    <row r="14" spans="1:31" s="12" customFormat="1" x14ac:dyDescent="0.25">
      <c r="A14" s="12" t="s">
        <v>36</v>
      </c>
      <c r="B14" s="12" t="s">
        <v>31</v>
      </c>
      <c r="C14" s="12">
        <v>179</v>
      </c>
      <c r="D14" s="13">
        <v>3955</v>
      </c>
      <c r="E14" s="12">
        <v>12</v>
      </c>
      <c r="F14" s="12">
        <v>11</v>
      </c>
      <c r="G14" s="14">
        <v>0</v>
      </c>
      <c r="H14" s="15">
        <v>847</v>
      </c>
      <c r="I1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-282.33333333333331</v>
      </c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</row>
    <row r="15" spans="1:31" s="12" customFormat="1" x14ac:dyDescent="0.25">
      <c r="A15" s="12" t="s">
        <v>42</v>
      </c>
      <c r="B15" s="12" t="s">
        <v>31</v>
      </c>
      <c r="C15" s="12">
        <v>222</v>
      </c>
      <c r="D15" s="13">
        <v>3877</v>
      </c>
      <c r="E15" s="12">
        <v>13</v>
      </c>
      <c r="F15" s="12">
        <v>13</v>
      </c>
      <c r="G15" s="14">
        <v>2449</v>
      </c>
      <c r="H15" s="15">
        <v>1422</v>
      </c>
      <c r="I1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1.7222222222222223</v>
      </c>
      <c r="J1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5925</v>
      </c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31" s="12" customFormat="1" x14ac:dyDescent="0.25">
      <c r="A16" s="12" t="s">
        <v>43</v>
      </c>
      <c r="B16" s="12" t="s">
        <v>27</v>
      </c>
      <c r="C16" s="12">
        <v>187</v>
      </c>
      <c r="D16" s="13">
        <v>3864</v>
      </c>
      <c r="E16" s="12">
        <v>14</v>
      </c>
      <c r="F16" s="12">
        <v>14</v>
      </c>
      <c r="G16" s="14">
        <v>2330</v>
      </c>
      <c r="H16" s="15">
        <v>1764</v>
      </c>
      <c r="I1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1.3208616780045352</v>
      </c>
      <c r="J1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5226</v>
      </c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</row>
    <row r="17" spans="1:23" s="12" customFormat="1" x14ac:dyDescent="0.25">
      <c r="A17" s="12" t="s">
        <v>38</v>
      </c>
      <c r="B17" s="12" t="s">
        <v>39</v>
      </c>
      <c r="C17" s="12">
        <v>208</v>
      </c>
      <c r="D17" s="15">
        <v>3819</v>
      </c>
      <c r="E17" s="12">
        <v>15</v>
      </c>
      <c r="F17" s="12">
        <v>15</v>
      </c>
      <c r="G17" s="14">
        <v>0</v>
      </c>
      <c r="H17" s="15">
        <v>0</v>
      </c>
      <c r="I1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23" s="12" customFormat="1" x14ac:dyDescent="0.25">
      <c r="A18" s="12" t="s">
        <v>44</v>
      </c>
      <c r="B18" s="12" t="s">
        <v>31</v>
      </c>
      <c r="C18" s="12">
        <v>158</v>
      </c>
      <c r="D18" s="13">
        <v>3719</v>
      </c>
      <c r="E18" s="12">
        <v>16</v>
      </c>
      <c r="F18" s="12">
        <v>16</v>
      </c>
      <c r="G18" s="14">
        <v>2336</v>
      </c>
      <c r="H18" s="15">
        <v>1052</v>
      </c>
      <c r="I1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2.2205323193916349</v>
      </c>
      <c r="J1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5956</v>
      </c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23" s="12" customFormat="1" x14ac:dyDescent="0.25">
      <c r="A19" s="12" t="s">
        <v>45</v>
      </c>
      <c r="B19" s="12" t="s">
        <v>39</v>
      </c>
      <c r="C19" s="12">
        <v>166</v>
      </c>
      <c r="D19" s="13">
        <v>3672</v>
      </c>
      <c r="E19" s="12">
        <v>17</v>
      </c>
      <c r="F19" s="12">
        <v>17</v>
      </c>
      <c r="G19" s="14">
        <v>869</v>
      </c>
      <c r="H19" s="15">
        <v>0</v>
      </c>
      <c r="I1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2607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</row>
    <row r="20" spans="1:23" s="12" customFormat="1" x14ac:dyDescent="0.25">
      <c r="A20" s="12" t="s">
        <v>62</v>
      </c>
      <c r="B20" s="12" t="s">
        <v>39</v>
      </c>
      <c r="C20" s="12">
        <v>147</v>
      </c>
      <c r="D20" s="13">
        <v>3504</v>
      </c>
      <c r="E20" s="12">
        <v>18</v>
      </c>
      <c r="F20" s="12">
        <v>18</v>
      </c>
      <c r="G20" s="14">
        <v>0</v>
      </c>
      <c r="H20" s="15">
        <v>929</v>
      </c>
      <c r="I2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-309.66666666666669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23" s="12" customFormat="1" x14ac:dyDescent="0.25">
      <c r="A21" s="12" t="s">
        <v>57</v>
      </c>
      <c r="B21" s="12" t="s">
        <v>39</v>
      </c>
      <c r="C21" s="12">
        <v>167</v>
      </c>
      <c r="D21" s="13">
        <v>3406</v>
      </c>
      <c r="E21" s="12">
        <v>19</v>
      </c>
      <c r="F21" s="12">
        <v>19</v>
      </c>
      <c r="G21" s="14">
        <v>0</v>
      </c>
      <c r="H21" s="15">
        <v>0</v>
      </c>
      <c r="I2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 s="12" customFormat="1" x14ac:dyDescent="0.25">
      <c r="A22" s="12" t="s">
        <v>74</v>
      </c>
      <c r="B22" s="12" t="s">
        <v>39</v>
      </c>
      <c r="C22" s="12">
        <v>173</v>
      </c>
      <c r="D22" s="15">
        <v>3401</v>
      </c>
      <c r="E22" s="12">
        <v>20</v>
      </c>
      <c r="F22" s="12">
        <v>0</v>
      </c>
      <c r="G22" s="14">
        <v>0</v>
      </c>
      <c r="H22" s="15">
        <v>0</v>
      </c>
      <c r="I2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23" s="12" customFormat="1" x14ac:dyDescent="0.25">
      <c r="A23" s="12" t="s">
        <v>63</v>
      </c>
      <c r="B23" s="12" t="s">
        <v>39</v>
      </c>
      <c r="C23" s="12">
        <v>143</v>
      </c>
      <c r="D23" s="13">
        <v>3328</v>
      </c>
      <c r="E23" s="12">
        <v>21</v>
      </c>
      <c r="F23" s="12">
        <v>20</v>
      </c>
      <c r="G23" s="14">
        <v>518</v>
      </c>
      <c r="H23" s="15">
        <v>2323</v>
      </c>
      <c r="I2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0.22298751614291865</v>
      </c>
      <c r="J2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-256.33333333333337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23" s="12" customFormat="1" x14ac:dyDescent="0.25">
      <c r="A24" s="12" t="s">
        <v>64</v>
      </c>
      <c r="B24" s="12" t="s">
        <v>39</v>
      </c>
      <c r="C24" s="12">
        <v>160</v>
      </c>
      <c r="D24" s="15">
        <v>3149</v>
      </c>
      <c r="E24" s="12">
        <v>22</v>
      </c>
      <c r="F24" s="12">
        <v>22</v>
      </c>
      <c r="G24" s="14">
        <v>0</v>
      </c>
      <c r="H24" s="15">
        <v>0</v>
      </c>
      <c r="I2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23" s="12" customFormat="1" x14ac:dyDescent="0.25">
      <c r="A25" s="12" t="s">
        <v>56</v>
      </c>
      <c r="B25" s="12" t="s">
        <v>39</v>
      </c>
      <c r="C25" s="12">
        <v>152</v>
      </c>
      <c r="D25" s="13">
        <v>3148</v>
      </c>
      <c r="E25" s="12">
        <v>23</v>
      </c>
      <c r="F25" s="12">
        <v>21</v>
      </c>
      <c r="G25" s="14">
        <v>30</v>
      </c>
      <c r="H25" s="15">
        <v>728</v>
      </c>
      <c r="I2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4.1208791208791208E-2</v>
      </c>
      <c r="J2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-212.66666666666666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23" s="12" customFormat="1" x14ac:dyDescent="0.25">
      <c r="A26" s="12" t="s">
        <v>56</v>
      </c>
      <c r="B26" s="12" t="s">
        <v>31</v>
      </c>
      <c r="C26" s="12">
        <v>152</v>
      </c>
      <c r="D26" s="13">
        <v>3129</v>
      </c>
      <c r="E26" s="12">
        <v>24</v>
      </c>
      <c r="F26" s="12">
        <v>24</v>
      </c>
      <c r="G26" s="14">
        <v>4994</v>
      </c>
      <c r="H26" s="15">
        <v>2184</v>
      </c>
      <c r="I2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2.2866300366300365</v>
      </c>
      <c r="J2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12798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23" s="12" customFormat="1" x14ac:dyDescent="0.25">
      <c r="A27" s="12" t="s">
        <v>75</v>
      </c>
      <c r="B27" s="12" t="s">
        <v>39</v>
      </c>
      <c r="C27" s="12">
        <v>233</v>
      </c>
      <c r="D27" s="13">
        <v>3119</v>
      </c>
      <c r="E27" s="12">
        <v>25</v>
      </c>
      <c r="F27" s="12">
        <v>23</v>
      </c>
      <c r="G27" s="14">
        <v>255</v>
      </c>
      <c r="H27" s="15">
        <v>52</v>
      </c>
      <c r="I2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4.9038461538461542</v>
      </c>
      <c r="J2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713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23" s="12" customFormat="1" x14ac:dyDescent="0.25">
      <c r="A28" s="12" t="s">
        <v>65</v>
      </c>
      <c r="B28" s="12" t="s">
        <v>39</v>
      </c>
      <c r="C28" s="12">
        <v>169</v>
      </c>
      <c r="D28" s="13">
        <v>3018</v>
      </c>
      <c r="E28" s="12">
        <v>26</v>
      </c>
      <c r="F28" s="12">
        <v>25</v>
      </c>
      <c r="G28" s="14">
        <v>0</v>
      </c>
      <c r="H28" s="15">
        <v>0</v>
      </c>
      <c r="I2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23" s="12" customFormat="1" x14ac:dyDescent="0.25">
      <c r="A29" s="12" t="s">
        <v>46</v>
      </c>
      <c r="B29" s="12" t="s">
        <v>39</v>
      </c>
      <c r="C29" s="12">
        <v>166</v>
      </c>
      <c r="D29" s="13">
        <v>3001</v>
      </c>
      <c r="E29" s="12">
        <v>27</v>
      </c>
      <c r="F29" s="12">
        <v>26</v>
      </c>
      <c r="G29" s="14">
        <v>0</v>
      </c>
      <c r="H29" s="15">
        <v>47</v>
      </c>
      <c r="I2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-15.666666666666666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23" s="12" customFormat="1" x14ac:dyDescent="0.25">
      <c r="A30" s="12" t="s">
        <v>66</v>
      </c>
      <c r="B30" s="12" t="s">
        <v>39</v>
      </c>
      <c r="C30" s="12">
        <v>165</v>
      </c>
      <c r="D30" s="13">
        <v>2964</v>
      </c>
      <c r="E30" s="12">
        <v>28</v>
      </c>
      <c r="F30" s="12">
        <v>27</v>
      </c>
      <c r="G30" s="14">
        <v>61</v>
      </c>
      <c r="H30" s="15">
        <v>541</v>
      </c>
      <c r="I3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0.11275415896487985</v>
      </c>
      <c r="J3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-119.33333333333334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23" s="12" customFormat="1" x14ac:dyDescent="0.25">
      <c r="A31" s="12" t="s">
        <v>50</v>
      </c>
      <c r="B31" s="12" t="s">
        <v>39</v>
      </c>
      <c r="C31" s="12">
        <v>146</v>
      </c>
      <c r="D31" s="15">
        <v>2928</v>
      </c>
      <c r="E31" s="12">
        <v>29</v>
      </c>
      <c r="F31" s="12">
        <v>29</v>
      </c>
      <c r="G31" s="14">
        <v>0</v>
      </c>
      <c r="H31" s="15">
        <v>210</v>
      </c>
      <c r="I3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-70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23" s="12" customFormat="1" x14ac:dyDescent="0.25">
      <c r="A32" s="12" t="s">
        <v>58</v>
      </c>
      <c r="B32" s="12" t="s">
        <v>39</v>
      </c>
      <c r="C32" s="12">
        <v>131</v>
      </c>
      <c r="D32" s="13">
        <v>2773</v>
      </c>
      <c r="E32" s="12">
        <v>30</v>
      </c>
      <c r="F32" s="12">
        <v>30</v>
      </c>
      <c r="G32" s="14">
        <v>0</v>
      </c>
      <c r="H32" s="15">
        <v>72</v>
      </c>
      <c r="I3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-24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s="12" customFormat="1" x14ac:dyDescent="0.25">
      <c r="A33" s="12" t="s">
        <v>53</v>
      </c>
      <c r="B33" s="12" t="s">
        <v>31</v>
      </c>
      <c r="C33" s="12">
        <v>181</v>
      </c>
      <c r="D33" s="13">
        <v>2739</v>
      </c>
      <c r="E33" s="12">
        <v>31</v>
      </c>
      <c r="F33" s="12">
        <v>31</v>
      </c>
      <c r="G33" s="14">
        <v>841</v>
      </c>
      <c r="H33" s="15">
        <v>620</v>
      </c>
      <c r="I3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1.3564516129032258</v>
      </c>
      <c r="J3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1903</v>
      </c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23" s="12" customFormat="1" x14ac:dyDescent="0.25">
      <c r="A34" s="12" t="s">
        <v>52</v>
      </c>
      <c r="B34" s="12" t="s">
        <v>39</v>
      </c>
      <c r="C34" s="12">
        <v>119</v>
      </c>
      <c r="D34" s="13">
        <v>2729</v>
      </c>
      <c r="E34" s="12">
        <v>32</v>
      </c>
      <c r="F34" s="12">
        <v>32</v>
      </c>
      <c r="G34" s="14">
        <v>0</v>
      </c>
      <c r="H34" s="15">
        <v>42</v>
      </c>
      <c r="I3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-14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</row>
    <row r="35" spans="1:23" s="12" customFormat="1" x14ac:dyDescent="0.25">
      <c r="A35" s="12" t="s">
        <v>49</v>
      </c>
      <c r="B35" s="12" t="s">
        <v>39</v>
      </c>
      <c r="C35" s="12">
        <v>173</v>
      </c>
      <c r="D35" s="13">
        <v>2713</v>
      </c>
      <c r="E35" s="12">
        <v>33</v>
      </c>
      <c r="F35" s="12">
        <v>34</v>
      </c>
      <c r="G35" s="14">
        <v>177</v>
      </c>
      <c r="H35" s="15">
        <v>384</v>
      </c>
      <c r="I3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0.4609375</v>
      </c>
      <c r="J3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147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23" s="12" customFormat="1" x14ac:dyDescent="0.25">
      <c r="A36" s="12" t="s">
        <v>48</v>
      </c>
      <c r="B36" s="12" t="s">
        <v>39</v>
      </c>
      <c r="C36" s="12">
        <v>134</v>
      </c>
      <c r="D36" s="13">
        <v>2712</v>
      </c>
      <c r="E36" s="12">
        <v>34</v>
      </c>
      <c r="F36" s="12">
        <v>33</v>
      </c>
      <c r="G36" s="14">
        <v>189</v>
      </c>
      <c r="H36" s="15">
        <v>72</v>
      </c>
      <c r="I3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2.625</v>
      </c>
      <c r="J3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495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23" s="12" customFormat="1" x14ac:dyDescent="0.25">
      <c r="A37" s="12" t="s">
        <v>67</v>
      </c>
      <c r="B37" s="12" t="s">
        <v>39</v>
      </c>
      <c r="C37" s="12">
        <v>139</v>
      </c>
      <c r="D37" s="13">
        <v>2696</v>
      </c>
      <c r="E37" s="12">
        <v>35</v>
      </c>
      <c r="F37" s="12">
        <v>35</v>
      </c>
      <c r="G37" s="14">
        <v>0</v>
      </c>
      <c r="H37" s="15">
        <v>0</v>
      </c>
      <c r="I3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23" s="12" customFormat="1" x14ac:dyDescent="0.25">
      <c r="A38" s="12" t="s">
        <v>69</v>
      </c>
      <c r="B38" s="12" t="s">
        <v>39</v>
      </c>
      <c r="C38" s="12">
        <v>142</v>
      </c>
      <c r="D38" s="13">
        <v>2686</v>
      </c>
      <c r="E38" s="12">
        <v>36</v>
      </c>
      <c r="F38" s="12">
        <v>37</v>
      </c>
      <c r="G38" s="14">
        <v>17</v>
      </c>
      <c r="H38" s="15">
        <v>144</v>
      </c>
      <c r="I3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0.11805555555555555</v>
      </c>
      <c r="J3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-31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23" s="12" customFormat="1" x14ac:dyDescent="0.25">
      <c r="A39" s="12" t="s">
        <v>68</v>
      </c>
      <c r="B39" s="12" t="s">
        <v>39</v>
      </c>
      <c r="C39" s="12">
        <v>155</v>
      </c>
      <c r="D39" s="13">
        <v>2669</v>
      </c>
      <c r="E39" s="12">
        <v>37</v>
      </c>
      <c r="F39" s="12">
        <v>36</v>
      </c>
      <c r="G39" s="14">
        <v>0</v>
      </c>
      <c r="H39" s="15">
        <v>0</v>
      </c>
      <c r="I3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23" s="12" customFormat="1" x14ac:dyDescent="0.25">
      <c r="A40" s="12" t="s">
        <v>47</v>
      </c>
      <c r="B40" s="12" t="s">
        <v>27</v>
      </c>
      <c r="C40" s="12">
        <v>232</v>
      </c>
      <c r="D40" s="13">
        <v>2621</v>
      </c>
      <c r="E40" s="12">
        <v>38</v>
      </c>
      <c r="F40" s="12">
        <v>28</v>
      </c>
      <c r="G40" s="14">
        <v>3772</v>
      </c>
      <c r="H40" s="15">
        <v>1050</v>
      </c>
      <c r="I4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3.5923809523809522</v>
      </c>
      <c r="J4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10266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23" s="12" customFormat="1" x14ac:dyDescent="0.25">
      <c r="A41" s="12" t="s">
        <v>59</v>
      </c>
      <c r="B41" s="12" t="s">
        <v>39</v>
      </c>
      <c r="C41" s="12">
        <v>131</v>
      </c>
      <c r="D41" s="15">
        <v>2604</v>
      </c>
      <c r="E41" s="12">
        <v>39</v>
      </c>
      <c r="F41" s="12">
        <v>39</v>
      </c>
      <c r="G41" s="14">
        <v>0</v>
      </c>
      <c r="H41" s="15">
        <v>0</v>
      </c>
      <c r="I4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23" s="12" customFormat="1" x14ac:dyDescent="0.25">
      <c r="A42" s="12" t="s">
        <v>70</v>
      </c>
      <c r="B42" s="12" t="s">
        <v>39</v>
      </c>
      <c r="C42" s="12">
        <v>159</v>
      </c>
      <c r="D42" s="13">
        <v>2588</v>
      </c>
      <c r="E42" s="12">
        <v>40</v>
      </c>
      <c r="F42" s="12">
        <v>38</v>
      </c>
      <c r="G42" s="14">
        <v>160</v>
      </c>
      <c r="H42" s="15">
        <v>511</v>
      </c>
      <c r="I4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0.3131115459882583</v>
      </c>
      <c r="J4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-10.333333333333343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23" s="12" customFormat="1" x14ac:dyDescent="0.25">
      <c r="A43" s="12" t="s">
        <v>51</v>
      </c>
      <c r="B43" s="12" t="s">
        <v>39</v>
      </c>
      <c r="C43" s="12">
        <v>181</v>
      </c>
      <c r="D43" s="15">
        <v>2521</v>
      </c>
      <c r="E43" s="12">
        <v>41</v>
      </c>
      <c r="F43" s="12">
        <v>40</v>
      </c>
      <c r="G43" s="14">
        <v>0</v>
      </c>
      <c r="H43" s="15">
        <v>0</v>
      </c>
      <c r="I4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23" s="12" customFormat="1" x14ac:dyDescent="0.25">
      <c r="A44" s="12" t="s">
        <v>54</v>
      </c>
      <c r="B44" s="12" t="s">
        <v>39</v>
      </c>
      <c r="C44" s="12">
        <v>153</v>
      </c>
      <c r="D44" s="15">
        <v>2394</v>
      </c>
      <c r="E44" s="12">
        <v>42</v>
      </c>
      <c r="F44" s="12">
        <v>42</v>
      </c>
      <c r="G44" s="14">
        <v>57</v>
      </c>
      <c r="H44" s="15">
        <v>0</v>
      </c>
      <c r="I4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4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171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23" s="12" customFormat="1" x14ac:dyDescent="0.25">
      <c r="A45" s="12" t="s">
        <v>71</v>
      </c>
      <c r="B45" s="12" t="s">
        <v>39</v>
      </c>
      <c r="C45" s="12">
        <v>131</v>
      </c>
      <c r="D45" s="13">
        <v>2376</v>
      </c>
      <c r="E45" s="12">
        <v>43</v>
      </c>
      <c r="F45" s="12">
        <v>41</v>
      </c>
      <c r="G45" s="14">
        <v>124</v>
      </c>
      <c r="H45" s="15">
        <v>922</v>
      </c>
      <c r="I4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0.13449023861171366</v>
      </c>
      <c r="J4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-183.33333333333331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23" s="12" customFormat="1" x14ac:dyDescent="0.25">
      <c r="A46" s="12" t="s">
        <v>60</v>
      </c>
      <c r="B46" s="12" t="s">
        <v>39</v>
      </c>
      <c r="C46" s="12">
        <v>140</v>
      </c>
      <c r="D46" s="13">
        <v>2369</v>
      </c>
      <c r="E46" s="12">
        <v>44</v>
      </c>
      <c r="F46" s="12">
        <v>43</v>
      </c>
      <c r="G46" s="14">
        <v>0</v>
      </c>
      <c r="H46" s="15">
        <v>433</v>
      </c>
      <c r="I4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-144.33333333333334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23" s="12" customFormat="1" x14ac:dyDescent="0.25">
      <c r="A47" s="12" t="s">
        <v>55</v>
      </c>
      <c r="B47" s="12" t="s">
        <v>39</v>
      </c>
      <c r="C47" s="12">
        <v>149</v>
      </c>
      <c r="D47" s="13">
        <v>2062</v>
      </c>
      <c r="E47" s="12">
        <v>45</v>
      </c>
      <c r="F47" s="12">
        <v>44</v>
      </c>
      <c r="G47" s="14">
        <v>219</v>
      </c>
      <c r="H47" s="15">
        <v>72</v>
      </c>
      <c r="I4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3.0416666666666665</v>
      </c>
      <c r="J4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585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23" s="12" customFormat="1" x14ac:dyDescent="0.25">
      <c r="A48" s="12" t="s">
        <v>72</v>
      </c>
      <c r="B48" s="12" t="s">
        <v>39</v>
      </c>
      <c r="C48" s="12">
        <v>144</v>
      </c>
      <c r="D48" s="13">
        <v>1963</v>
      </c>
      <c r="E48" s="12">
        <v>46</v>
      </c>
      <c r="F48" s="12">
        <v>45</v>
      </c>
      <c r="G48" s="14">
        <v>3</v>
      </c>
      <c r="H48" s="15">
        <v>42</v>
      </c>
      <c r="I4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7.1428571428571425E-2</v>
      </c>
      <c r="J4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-11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23" s="12" customFormat="1" x14ac:dyDescent="0.25">
      <c r="A49" s="12" t="s">
        <v>73</v>
      </c>
      <c r="B49" s="12" t="s">
        <v>39</v>
      </c>
      <c r="C49" s="12">
        <v>128</v>
      </c>
      <c r="D49" s="13">
        <v>1469</v>
      </c>
      <c r="E49" s="12">
        <v>47</v>
      </c>
      <c r="F49" s="12">
        <v>46</v>
      </c>
      <c r="G49" s="14">
        <v>66</v>
      </c>
      <c r="H49" s="15">
        <v>102</v>
      </c>
      <c r="I4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0.6470588235294118</v>
      </c>
      <c r="J4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96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</row>
    <row r="50" spans="1:23" s="12" customFormat="1" x14ac:dyDescent="0.25">
      <c r="D50" s="13"/>
      <c r="G50" s="14"/>
      <c r="H50" s="15"/>
      <c r="I5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23" s="12" customFormat="1" x14ac:dyDescent="0.25">
      <c r="D51" s="13"/>
      <c r="G51" s="14"/>
      <c r="H51" s="15"/>
      <c r="I5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23" s="12" customFormat="1" x14ac:dyDescent="0.25">
      <c r="D52" s="13"/>
      <c r="G52" s="14"/>
      <c r="H52" s="15"/>
      <c r="I5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23" s="12" customFormat="1" x14ac:dyDescent="0.25">
      <c r="D53" s="25"/>
      <c r="G53" s="25"/>
      <c r="H53" s="25"/>
      <c r="I53" s="26"/>
      <c r="J53" s="25"/>
      <c r="K53" s="25"/>
      <c r="W53" s="25"/>
    </row>
    <row r="54" spans="1:23" s="12" customFormat="1" x14ac:dyDescent="0.25">
      <c r="D54" s="13"/>
      <c r="G54" s="13"/>
      <c r="H54" s="13"/>
      <c r="I54" s="27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spans="1:23" s="12" customFormat="1" x14ac:dyDescent="0.25">
      <c r="D55" s="13"/>
      <c r="G55" s="13"/>
      <c r="H55" s="13"/>
      <c r="I55" s="27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spans="1:23" s="12" customFormat="1" x14ac:dyDescent="0.25">
      <c r="D56" s="13"/>
      <c r="G56" s="13"/>
      <c r="H56" s="13"/>
      <c r="I56" s="27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</sheetData>
  <sortState xmlns:xlrd2="http://schemas.microsoft.com/office/spreadsheetml/2017/richdata2" ref="A3:R52">
    <sortCondition descending="1" ref="D3"/>
  </sortState>
  <mergeCells count="1">
    <mergeCell ref="A1:I1"/>
  </mergeCells>
  <conditionalFormatting sqref="B3:B52">
    <cfRule type="beginsWith" dxfId="43" priority="12" operator="beginsWith" text="leader">
      <formula>LEFT(B3,LEN("leader"))="leader"</formula>
    </cfRule>
    <cfRule type="containsText" dxfId="42" priority="13" operator="containsText" text="coLeader">
      <formula>NOT(ISERROR(SEARCH("coLeader",B3)))</formula>
    </cfRule>
    <cfRule type="containsText" dxfId="41" priority="14" operator="containsText" text="admin">
      <formula>NOT(ISERROR(SEARCH("admin",B3)))</formula>
    </cfRule>
    <cfRule type="containsText" dxfId="40" priority="15" operator="containsText" text="member">
      <formula>NOT(ISERROR(SEARCH("member",B3)))</formula>
    </cfRule>
  </conditionalFormatting>
  <conditionalFormatting sqref="J3:J53 U4:W19 M4:S19 M20:W53 M3:W3">
    <cfRule type="cellIs" dxfId="39" priority="10" operator="lessThan">
      <formula>0</formula>
    </cfRule>
  </conditionalFormatting>
  <conditionalFormatting sqref="I54:J1048576 I2:J52 U4:W19 M4:S19 M20:W52 M2:W3 M54:W104857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J52 U4:W19 M4:S19 M20:W52 M3:W3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T4:T19">
    <cfRule type="cellIs" dxfId="38" priority="5" operator="lessThan">
      <formula>0</formula>
    </cfRule>
  </conditionalFormatting>
  <conditionalFormatting sqref="T4:T19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T4:T19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conditionalFormatting sqref="L1:L1048576 L3:N2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R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{2650343F-3CF2-443F-BF79-0FEF010950AF}</x14:id>
        </ext>
      </extLst>
    </cfRule>
  </conditionalFormatting>
  <hyperlinks>
    <hyperlink ref="AC4" r:id="rId1" xr:uid="{00000000-0004-0000-0000-000000000000}"/>
    <hyperlink ref="AC5" r:id="rId2" location="clanTag=VQPVPJ09" xr:uid="{00000000-0004-0000-0000-000001000000}"/>
    <hyperlink ref="AD8" r:id="rId3" xr:uid="{00000000-0004-0000-0000-000002000000}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JSON">
                <anchor moveWithCells="1" sizeWithCells="1">
                  <from>
                    <xdr:col>23</xdr:col>
                    <xdr:colOff>19050</xdr:colOff>
                    <xdr:row>2</xdr:row>
                    <xdr:rowOff>0</xdr:rowOff>
                  </from>
                  <to>
                    <xdr:col>27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lanListeLeeren">
                <anchor moveWithCells="1" sizeWithCells="1">
                  <from>
                    <xdr:col>23</xdr:col>
                    <xdr:colOff>28575</xdr:colOff>
                    <xdr:row>7</xdr:row>
                    <xdr:rowOff>0</xdr:rowOff>
                  </from>
                  <to>
                    <xdr:col>27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ierenSpenden">
                <anchor moveWithCells="1" sizeWithCells="1">
                  <from>
                    <xdr:col>23</xdr:col>
                    <xdr:colOff>28575</xdr:colOff>
                    <xdr:row>12</xdr:row>
                    <xdr:rowOff>66675</xdr:rowOff>
                  </from>
                  <to>
                    <xdr:col>27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sortierenTrophäen">
                <anchor moveWithCells="1" sizeWithCells="1">
                  <from>
                    <xdr:col>23</xdr:col>
                    <xdr:colOff>38100</xdr:colOff>
                    <xdr:row>31</xdr:row>
                    <xdr:rowOff>28575</xdr:rowOff>
                  </from>
                  <to>
                    <xdr:col>27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PDFExport">
                <anchor moveWithCells="1" sizeWithCells="1">
                  <from>
                    <xdr:col>23</xdr:col>
                    <xdr:colOff>38100</xdr:colOff>
                    <xdr:row>37</xdr:row>
                    <xdr:rowOff>76200</xdr:rowOff>
                  </from>
                  <to>
                    <xdr:col>27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sortierenGespendet">
                <anchor moveWithCells="1" sizeWithCells="1">
                  <from>
                    <xdr:col>23</xdr:col>
                    <xdr:colOff>28575</xdr:colOff>
                    <xdr:row>18</xdr:row>
                    <xdr:rowOff>95250</xdr:rowOff>
                  </from>
                  <to>
                    <xdr:col>27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sortierenSpendenErhalten">
                <anchor moveWithCells="1" sizeWithCells="1">
                  <from>
                    <xdr:col>23</xdr:col>
                    <xdr:colOff>38100</xdr:colOff>
                    <xdr:row>24</xdr:row>
                    <xdr:rowOff>104775</xdr:rowOff>
                  </from>
                  <to>
                    <xdr:col>27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ortierenSpendenbudget">
                <anchor moveWithCells="1" sizeWithCells="1">
                  <from>
                    <xdr:col>27</xdr:col>
                    <xdr:colOff>304800</xdr:colOff>
                    <xdr:row>12</xdr:row>
                    <xdr:rowOff>66675</xdr:rowOff>
                  </from>
                  <to>
                    <xdr:col>30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I54:J1048576 I2:J52 U4:W19 M4:S19 M20:W52 M2:W3 M54:W1048576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I3:J52 U4:W19 M4:S19 M20:W52 M3:W3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T4:T19</xm:sqref>
        </x14:conditionalFormatting>
        <x14:conditionalFormatting xmlns:xm="http://schemas.microsoft.com/office/excel/2006/main">
          <x14:cfRule type="dataBar" id="{2650343F-3CF2-443F-BF79-0FEF010950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890A-8517-436E-8E4B-27628BCD338F}">
  <sheetPr codeName="Tabelle1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Clanübersicht</vt:lpstr>
      <vt:lpstr>CKL</vt:lpstr>
      <vt:lpstr>APIurl</vt:lpstr>
      <vt:lpstr>Clanübersicht!Druckbereich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2023-07-22T16:59:03Z</dcterms:modified>
</cp:coreProperties>
</file>