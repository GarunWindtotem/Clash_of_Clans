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DieseArbeitsmappe" defaultThemeVersion="124226"/>
  <bookViews>
    <workbookView xWindow="240" yWindow="105" windowWidth="14805" windowHeight="8010"/>
  </bookViews>
  <sheets>
    <sheet name="Clanübersicht" sheetId="1" r:id="rId1"/>
    <sheet name="ck" sheetId="2" r:id="rId2"/>
  </sheets>
  <functionGroups builtInGroupCount="17"/>
  <definedNames>
    <definedName name="_xlnm._FilterDatabase" localSheetId="0" hidden="1">Clanübersicht!$A$2:$I$56</definedName>
    <definedName name="APIurl">Clanübersicht!$AB$4</definedName>
    <definedName name="_xlnm.Print_Area" localSheetId="0">Clanübersicht!$A$1:$J$53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3" i="1" l="1"/>
  <c r="J17" i="1"/>
  <c r="J25" i="1"/>
  <c r="J40" i="1"/>
  <c r="J6" i="1"/>
  <c r="J3" i="1"/>
  <c r="J47" i="1"/>
  <c r="J35" i="1"/>
  <c r="J37" i="1"/>
  <c r="J39" i="1"/>
  <c r="J8" i="1"/>
  <c r="J4" i="1"/>
  <c r="J34" i="1"/>
  <c r="J52" i="1"/>
  <c r="J5" i="1"/>
  <c r="J45" i="1"/>
  <c r="J31" i="1"/>
  <c r="J23" i="1"/>
  <c r="J15" i="1"/>
  <c r="J18" i="1"/>
  <c r="J22" i="1"/>
  <c r="J12" i="1"/>
  <c r="J46" i="1"/>
  <c r="J9" i="1"/>
  <c r="J27" i="1"/>
  <c r="J41" i="1"/>
  <c r="J10" i="1"/>
  <c r="J32" i="1"/>
  <c r="J49" i="1"/>
  <c r="J33" i="1"/>
  <c r="J42" i="1"/>
  <c r="J29" i="1"/>
  <c r="J16" i="1"/>
  <c r="J51" i="1"/>
  <c r="J14" i="1"/>
  <c r="J13" i="1"/>
  <c r="J30" i="1"/>
  <c r="J11" i="1"/>
  <c r="J20" i="1"/>
  <c r="J7" i="1"/>
  <c r="J50" i="1"/>
  <c r="J36" i="1"/>
  <c r="J48" i="1"/>
  <c r="J44" i="1"/>
  <c r="J38" i="1"/>
  <c r="J24" i="1"/>
  <c r="J21" i="1"/>
  <c r="J26" i="1"/>
  <c r="J28" i="1"/>
  <c r="J19" i="1"/>
  <c r="J1" i="1"/>
  <c r="I13" i="1"/>
  <c r="I24" i="1"/>
  <c r="I29" i="1"/>
  <c r="I47" i="1"/>
  <c r="I12" i="1"/>
  <c r="I42" i="1"/>
  <c r="I7" i="1"/>
  <c r="I4" i="1"/>
  <c r="I8" i="1"/>
  <c r="I3" i="1"/>
  <c r="I23" i="1"/>
  <c r="I27" i="1"/>
  <c r="I36" i="1"/>
  <c r="I44" i="1"/>
  <c r="I50" i="1"/>
  <c r="I21" i="1"/>
  <c r="I51" i="1"/>
  <c r="I49" i="1"/>
  <c r="I16" i="1"/>
  <c r="I34" i="1"/>
  <c r="I46" i="1"/>
  <c r="I19" i="1"/>
  <c r="I33" i="1"/>
  <c r="I17" i="1"/>
  <c r="I15" i="1"/>
  <c r="I14" i="1"/>
  <c r="I35" i="1"/>
  <c r="I32" i="1"/>
  <c r="I45" i="1"/>
  <c r="I6" i="1"/>
  <c r="I9" i="1"/>
  <c r="I11" i="1"/>
  <c r="I30" i="1"/>
  <c r="I22" i="1"/>
  <c r="I20" i="1"/>
  <c r="I40" i="1"/>
  <c r="I18" i="1"/>
  <c r="I31" i="1"/>
  <c r="I5" i="1"/>
  <c r="I43" i="1"/>
  <c r="I48" i="1"/>
  <c r="I37" i="1"/>
  <c r="I10" i="1"/>
  <c r="I41" i="1"/>
  <c r="I39" i="1"/>
  <c r="I52" i="1"/>
  <c r="I38" i="1"/>
  <c r="I26" i="1"/>
  <c r="I28" i="1"/>
  <c r="I25" i="1"/>
</calcChain>
</file>

<file path=xl/comments1.xml><?xml version="1.0" encoding="utf-8"?>
<comments xmlns="http://schemas.openxmlformats.org/spreadsheetml/2006/main">
  <authors>
    <author>Autor</author>
  </authors>
  <commentList>
    <comment ref="A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diese Zelle geht in das VBA Programm für den Datenabruf</t>
        </r>
      </text>
    </comment>
  </commentList>
</comments>
</file>

<file path=xl/sharedStrings.xml><?xml version="1.0" encoding="utf-8"?>
<sst xmlns="http://schemas.openxmlformats.org/spreadsheetml/2006/main" count="149" uniqueCount="70">
  <si>
    <t>Name</t>
  </si>
  <si>
    <t>Spendenverhältnis</t>
  </si>
  <si>
    <t>Spenden erhalten</t>
  </si>
  <si>
    <t>Datenquelle JSON</t>
  </si>
  <si>
    <t>Clanseite</t>
  </si>
  <si>
    <t>INFO:</t>
  </si>
  <si>
    <t>Clanübersichtsliste &amp; Spendenverhältnis</t>
  </si>
  <si>
    <t>Trophäen</t>
  </si>
  <si>
    <t>Gespendet</t>
  </si>
  <si>
    <t>EP
Punkte</t>
  </si>
  <si>
    <t>Clan Rang Neu</t>
  </si>
  <si>
    <t>Clan Rang Bisher</t>
  </si>
  <si>
    <t>Rolle</t>
  </si>
  <si>
    <t>Spendenbudget</t>
  </si>
  <si>
    <r>
      <rPr>
        <b/>
        <sz val="11"/>
        <color theme="1"/>
        <rFont val="Calibri"/>
        <family val="2"/>
        <scheme val="minor"/>
      </rPr>
      <t>Clan Tag:</t>
    </r>
    <r>
      <rPr>
        <sz val="11"/>
        <color theme="1"/>
        <rFont val="Calibri"/>
        <family val="2"/>
        <scheme val="minor"/>
      </rPr>
      <t xml:space="preserve"> </t>
    </r>
  </si>
  <si>
    <t>admin</t>
  </si>
  <si>
    <t>member</t>
  </si>
  <si>
    <t>leader</t>
  </si>
  <si>
    <t>coLeader</t>
  </si>
  <si>
    <t>Asarius</t>
  </si>
  <si>
    <t>Beatle</t>
  </si>
  <si>
    <t>Thor</t>
  </si>
  <si>
    <t>Garun Windtotem</t>
  </si>
  <si>
    <t>seatro</t>
  </si>
  <si>
    <t>Stunnah</t>
  </si>
  <si>
    <t>flow</t>
  </si>
  <si>
    <t>Asaretto</t>
  </si>
  <si>
    <t>Avatar</t>
  </si>
  <si>
    <t>Julius</t>
  </si>
  <si>
    <t>Lord Mio</t>
  </si>
  <si>
    <t>VQPVPJ09</t>
  </si>
  <si>
    <t>MeisterHo</t>
  </si>
  <si>
    <t>Finster KÃ¶nig</t>
  </si>
  <si>
    <t>Peer Knopfdruck</t>
  </si>
  <si>
    <t>Jurich</t>
  </si>
  <si>
    <t>CK 1 Angriff</t>
  </si>
  <si>
    <t>CK2 Angriff</t>
  </si>
  <si>
    <t>CK3 Angriff</t>
  </si>
  <si>
    <t>Demon5</t>
  </si>
  <si>
    <t>Bick</t>
  </si>
  <si>
    <t>CK4 Angriff</t>
  </si>
  <si>
    <t>CK5 Angriff</t>
  </si>
  <si>
    <t>CK6 Angriff</t>
  </si>
  <si>
    <t>CK7 Angriff</t>
  </si>
  <si>
    <t>Timâï¸</t>
  </si>
  <si>
    <t>sam</t>
  </si>
  <si>
    <t>Ben7580</t>
  </si>
  <si>
    <t>maxi05zockt</t>
  </si>
  <si>
    <t>â ARES â</t>
  </si>
  <si>
    <t>hkk</t>
  </si>
  <si>
    <t>âZEUSâ</t>
  </si>
  <si>
    <t>Zhinchuya</t>
  </si>
  <si>
    <t>Sammy</t>
  </si>
  <si>
    <t>DezyPlayz</t>
  </si>
  <si>
    <t>Aaron:3</t>
  </si>
  <si>
    <t>Boris</t>
  </si>
  <si>
    <t>Verrotec</t>
  </si>
  <si>
    <t>Leonie</t>
  </si>
  <si>
    <t>patti</t>
  </si>
  <si>
    <t>Nitro</t>
  </si>
  <si>
    <t>Nico</t>
  </si>
  <si>
    <t>sauron</t>
  </si>
  <si>
    <t>Lord Michi</t>
  </si>
  <si>
    <t>Zocker</t>
  </si>
  <si>
    <t>Tobs</t>
  </si>
  <si>
    <t>Destructor</t>
  </si>
  <si>
    <t>Djoser</t>
  </si>
  <si>
    <t>TED-DADDY</t>
  </si>
  <si>
    <t>https://api.clashofclans.com/v1/clans/VQPVPJ09/warlog</t>
  </si>
  <si>
    <t>Warlog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</si>
</sst>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€_-;\-* #,##0.00\ _€_-;_-* &quot;-&quot;??\ _€_-;_-@_-"/>
    <numFmt numFmtId="164" formatCode="_-* #,##0\ _€_-;\-* #,##0\ _€_-;_-* &quot;-&quot;??\ _€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rgb="FF01AF37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0000FF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9">
    <border>
      <left/>
      <right/>
      <top/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9">
    <xf numFmtId="0" fontId="0" fillId="0" borderId="0" xfId="0"/>
    <xf numFmtId="9" fontId="0" fillId="0" borderId="0" xfId="1" applyFont="1"/>
    <xf numFmtId="0" fontId="2" fillId="0" borderId="0" xfId="0" applyFont="1"/>
    <xf numFmtId="0" fontId="0" fillId="0" borderId="0" xfId="0" applyFont="1" applyBorder="1"/>
    <xf numFmtId="0" fontId="0" fillId="0" borderId="0" xfId="0" applyFill="1"/>
    <xf numFmtId="0" fontId="0" fillId="0" borderId="0" xfId="0" applyFont="1" applyFill="1" applyBorder="1"/>
    <xf numFmtId="0" fontId="0" fillId="0" borderId="0" xfId="0" applyBorder="1"/>
    <xf numFmtId="9" fontId="0" fillId="0" borderId="0" xfId="1" applyFont="1" applyBorder="1"/>
    <xf numFmtId="0" fontId="0" fillId="0" borderId="0" xfId="0" applyFill="1" applyBorder="1"/>
    <xf numFmtId="9" fontId="0" fillId="0" borderId="0" xfId="0" applyNumberFormat="1" applyFont="1"/>
    <xf numFmtId="164" fontId="0" fillId="0" borderId="0" xfId="3" applyNumberFormat="1" applyFont="1" applyBorder="1"/>
    <xf numFmtId="164" fontId="0" fillId="0" borderId="0" xfId="3" applyNumberFormat="1" applyFont="1" applyFill="1" applyBorder="1"/>
    <xf numFmtId="164" fontId="0" fillId="0" borderId="0" xfId="3" applyNumberFormat="1" applyFont="1"/>
    <xf numFmtId="164" fontId="0" fillId="0" borderId="0" xfId="3" applyNumberFormat="1" applyFont="1" applyFill="1"/>
    <xf numFmtId="164" fontId="5" fillId="0" borderId="0" xfId="3" applyNumberFormat="1" applyFont="1" applyBorder="1"/>
    <xf numFmtId="164" fontId="5" fillId="0" borderId="0" xfId="3" applyNumberFormat="1" applyFont="1" applyFill="1" applyBorder="1"/>
    <xf numFmtId="164" fontId="0" fillId="0" borderId="0" xfId="0" applyNumberFormat="1" applyFont="1"/>
    <xf numFmtId="14" fontId="0" fillId="0" borderId="0" xfId="0" applyNumberFormat="1"/>
    <xf numFmtId="14" fontId="6" fillId="0" borderId="0" xfId="0" applyNumberFormat="1" applyFont="1" applyAlignment="1"/>
    <xf numFmtId="0" fontId="7" fillId="3" borderId="0" xfId="0" applyFont="1" applyFill="1" applyBorder="1" applyAlignment="1">
      <alignment wrapText="1"/>
    </xf>
    <xf numFmtId="164" fontId="7" fillId="3" borderId="0" xfId="3" applyNumberFormat="1" applyFont="1" applyFill="1" applyBorder="1" applyAlignment="1">
      <alignment wrapText="1"/>
    </xf>
    <xf numFmtId="9" fontId="7" fillId="3" borderId="0" xfId="1" applyNumberFormat="1" applyFont="1" applyFill="1" applyBorder="1" applyAlignment="1">
      <alignment wrapText="1"/>
    </xf>
    <xf numFmtId="164" fontId="7" fillId="3" borderId="1" xfId="3" applyNumberFormat="1" applyFont="1" applyFill="1" applyBorder="1" applyAlignment="1">
      <alignment wrapText="1"/>
    </xf>
    <xf numFmtId="14" fontId="6" fillId="0" borderId="0" xfId="0" applyNumberFormat="1" applyFont="1" applyFill="1" applyAlignment="1"/>
    <xf numFmtId="164" fontId="7" fillId="0" borderId="0" xfId="3" applyNumberFormat="1" applyFont="1" applyFill="1" applyBorder="1" applyAlignment="1">
      <alignment wrapText="1"/>
    </xf>
    <xf numFmtId="164" fontId="0" fillId="0" borderId="0" xfId="0" applyNumberFormat="1" applyFont="1" applyFill="1"/>
    <xf numFmtId="0" fontId="2" fillId="0" borderId="2" xfId="0" applyFont="1" applyBorder="1"/>
    <xf numFmtId="0" fontId="0" fillId="0" borderId="3" xfId="0" applyBorder="1"/>
    <xf numFmtId="0" fontId="0" fillId="0" borderId="5" xfId="0" applyBorder="1"/>
    <xf numFmtId="0" fontId="3" fillId="2" borderId="4" xfId="2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4" borderId="7" xfId="0" applyFill="1" applyBorder="1"/>
    <xf numFmtId="0" fontId="0" fillId="0" borderId="0" xfId="0" applyFont="1"/>
    <xf numFmtId="0" fontId="4" fillId="0" borderId="0" xfId="0" applyFont="1" applyAlignment="1">
      <alignment horizontal="center"/>
    </xf>
    <xf numFmtId="0" fontId="13" fillId="5" borderId="8" xfId="0" applyFont="1" applyFill="1" applyBorder="1"/>
    <xf numFmtId="0" fontId="0" fillId="0" borderId="8" xfId="0" applyBorder="1"/>
    <xf numFmtId="0" fontId="14" fillId="5" borderId="8" xfId="0" applyFont="1" applyFill="1" applyBorder="1"/>
    <xf numFmtId="0" fontId="2" fillId="0" borderId="8" xfId="0" applyFont="1" applyBorder="1"/>
    <xf numFmtId="0" fontId="3" fillId="0" borderId="0" xfId="2"/>
  </cellXfs>
  <cellStyles count="4">
    <cellStyle name="Hyperlink" xfId="2" builtinId="8"/>
    <cellStyle name="Komma" xfId="3" builtinId="3"/>
    <cellStyle name="Prozent" xfId="1" builtinId="5"/>
    <cellStyle name="Standard" xfId="0" builtinId="0"/>
  </cellStyles>
  <dxfs count="35">
    <dxf>
      <font>
        <color rgb="FFFF0000"/>
      </font>
    </dxf>
    <dxf>
      <font>
        <color rgb="FFFF000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* #,##0\ _€_-;\-* #,##0\ _€_-;_-* &quot;-&quot;??\ _€_-;_-@_-"/>
    </dxf>
    <dxf>
      <font>
        <b/>
        <strike val="0"/>
        <outline val="0"/>
        <shadow val="0"/>
        <u val="none"/>
        <vertAlign val="baseline"/>
        <sz val="11"/>
        <color rgb="FF01AF37"/>
        <name val="Calibri"/>
        <scheme val="minor"/>
      </font>
      <numFmt numFmtId="164" formatCode="_-* #,##0\ _€_-;\-* #,##0\ _€_-;_-* &quot;-&quot;??\ _€_-;_-@_-"/>
    </dxf>
    <dxf>
      <numFmt numFmtId="164" formatCode="_-* #,##0\ _€_-;\-* #,##0\ _€_-;_-* &quot;-&quot;??\ _€_-;_-@_-"/>
    </dxf>
    <dxf>
      <border outline="0"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66FF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color auto="1"/>
      </font>
      <fill>
        <patternFill>
          <bgColor theme="0" tint="-0.14996795556505021"/>
        </patternFill>
      </fill>
    </dxf>
    <dxf>
      <border>
        <left style="medium">
          <color auto="1"/>
        </left>
        <right style="medium">
          <color auto="1"/>
        </right>
        <top style="double">
          <color auto="1"/>
        </top>
        <bottom style="medium">
          <color auto="1"/>
        </bottom>
      </border>
    </dxf>
    <dxf>
      <font>
        <b/>
        <i val="0"/>
        <color rgb="FF2800D0"/>
      </font>
      <fill>
        <patternFill>
          <bgColor theme="7" tint="0.59996337778862885"/>
        </patternFill>
      </fill>
      <border>
        <bottom style="medium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Medium9">
    <tableStyle name="Tabellenformat 1" pivot="0" count="4">
      <tableStyleElement type="wholeTable" dxfId="34"/>
      <tableStyleElement type="headerRow" dxfId="33"/>
      <tableStyleElement type="totalRow" dxfId="32"/>
      <tableStyleElement type="firstRowStripe" dxfId="31"/>
    </tableStyle>
  </tableStyles>
  <colors>
    <mruColors>
      <color rgb="FF0066FF"/>
      <color rgb="FF01AF37"/>
      <color rgb="FF2800D0"/>
      <color rgb="FF2AFE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2</xdr:row>
          <xdr:rowOff>0</xdr:rowOff>
        </xdr:from>
        <xdr:to>
          <xdr:col>26</xdr:col>
          <xdr:colOff>123825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Clanliste updaten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7</xdr:row>
          <xdr:rowOff>0</xdr:rowOff>
        </xdr:from>
        <xdr:to>
          <xdr:col>26</xdr:col>
          <xdr:colOff>142875</xdr:colOff>
          <xdr:row>10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Clanliste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12</xdr:row>
          <xdr:rowOff>66675</xdr:rowOff>
        </xdr:from>
        <xdr:to>
          <xdr:col>26</xdr:col>
          <xdr:colOff>142875</xdr:colOff>
          <xdr:row>17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Spendenverhältnis 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31</xdr:row>
          <xdr:rowOff>28575</xdr:rowOff>
        </xdr:from>
        <xdr:to>
          <xdr:col>26</xdr:col>
          <xdr:colOff>152400</xdr:colOff>
          <xdr:row>36</xdr:row>
          <xdr:rowOff>47625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Trophäen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37</xdr:row>
          <xdr:rowOff>76200</xdr:rowOff>
        </xdr:from>
        <xdr:to>
          <xdr:col>26</xdr:col>
          <xdr:colOff>152400</xdr:colOff>
          <xdr:row>42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PDF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18</xdr:row>
          <xdr:rowOff>95250</xdr:rowOff>
        </xdr:from>
        <xdr:to>
          <xdr:col>26</xdr:col>
          <xdr:colOff>142875</xdr:colOff>
          <xdr:row>23</xdr:row>
          <xdr:rowOff>114300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Gespendet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24</xdr:row>
          <xdr:rowOff>104775</xdr:rowOff>
        </xdr:from>
        <xdr:to>
          <xdr:col>26</xdr:col>
          <xdr:colOff>152400</xdr:colOff>
          <xdr:row>29</xdr:row>
          <xdr:rowOff>123825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 erhalten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304800</xdr:colOff>
          <xdr:row>12</xdr:row>
          <xdr:rowOff>66675</xdr:rowOff>
        </xdr:from>
        <xdr:to>
          <xdr:col>29</xdr:col>
          <xdr:colOff>342900</xdr:colOff>
          <xdr:row>17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Spendenbudget↓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le2" displayName="Tabelle2" ref="A2:Q53" totalsRowCount="1" headerRowDxfId="30" tableBorderDxfId="29">
  <autoFilter ref="A2:Q52"/>
  <sortState ref="A3:M52">
    <sortCondition descending="1" ref="D2:D52"/>
  </sortState>
  <tableColumns count="17">
    <tableColumn id="1" name="Name"/>
    <tableColumn id="2" name="Rolle"/>
    <tableColumn id="3" name="EP_x000a_Punkte"/>
    <tableColumn id="4" name="Trophäen" dataDxfId="28" totalsRowDxfId="16" dataCellStyle="Komma"/>
    <tableColumn id="5" name="Clan Rang Neu"/>
    <tableColumn id="6" name="Clan Rang Bisher"/>
    <tableColumn id="7" name="Gespendet" dataDxfId="27" totalsRowDxfId="15" dataCellStyle="Komma"/>
    <tableColumn id="8" name="Spenden erhalten" dataDxfId="26" totalsRowDxfId="14" dataCellStyle="Komma"/>
    <tableColumn id="9" name="Spendenverhältnis" dataDxfId="25" totalsRowDxfId="13" dataCellStyle="Prozent">
      <calculatedColumnFormula>IF(AND(Tabelle2[[#This Row],[Gespendet]]=0,Tabelle2[[#This Row],[Spenden erhalten]]=0),0,IF(AND(Tabelle2[[#This Row],[Gespendet]]&gt;0,Tabelle2[[#This Row],[Spenden erhalten]]=0),3,Tabelle2[[#This Row],[Gespendet]]/Tabelle2[[#This Row],[Spenden erhalten]]))</calculatedColumnFormula>
    </tableColumn>
    <tableColumn id="10" name="Spendenbudget" dataDxfId="24" totalsRowDxfId="12" dataCellStyle="Komma">
      <calculatedColumnFormula>IF(Tabelle2[[#This Row],[Gespendet]]*3-Tabelle2[[#This Row],[Spenden erhalten]]&gt;0,Tabelle2[[#This Row],[Gespendet]]*3-Tabelle2[[#This Row],[Spenden erhalten]],((Tabelle2[[#This Row],[Spenden erhalten]]/3)-Tabelle2[[#This Row],[Gespendet]])*(-1))</calculatedColumnFormula>
    </tableColumn>
    <tableColumn id="11" name="CK 1 Angriff" dataDxfId="23" totalsRowDxfId="11" dataCellStyle="Komma"/>
    <tableColumn id="12" name="CK2 Angriff" dataDxfId="22" totalsRowDxfId="10" dataCellStyle="Komma"/>
    <tableColumn id="16" name="CK3 Angriff" dataDxfId="21" totalsRowDxfId="9" dataCellStyle="Komma"/>
    <tableColumn id="15" name="CK4 Angriff" dataDxfId="20" totalsRowDxfId="8" dataCellStyle="Komma"/>
    <tableColumn id="14" name="CK5 Angriff" dataDxfId="19" totalsRowDxfId="7" dataCellStyle="Komma"/>
    <tableColumn id="17" name="CK6 Angriff" dataDxfId="18" totalsRowDxfId="6" dataCellStyle="Komma"/>
    <tableColumn id="13" name="CK7 Angriff" dataDxfId="17" dataCellStyle="Komma"/>
  </tableColumns>
  <tableStyleInfo name="Tabellenformat 1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hyperlink" Target="https://api.clashofclans.com/v1/clans/VQPVPJ09/warlog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hyperlink" Target="https://clashofclans.com/clans/search/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s://set7z18fgf.execute-api.us-east-1.amazonaws.com/prod/?route=getClanDetails&amp;clanTag=%23VQPVPJ09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lan">
    <pageSetUpPr fitToPage="1"/>
  </sheetPr>
  <dimension ref="A1:AD53"/>
  <sheetViews>
    <sheetView showGridLines="0" tabSelected="1" zoomScaleNormal="100" workbookViewId="0">
      <selection activeCell="AB9" sqref="AB9"/>
    </sheetView>
  </sheetViews>
  <sheetFormatPr baseColWidth="10" defaultColWidth="9.140625" defaultRowHeight="15" x14ac:dyDescent="0.25"/>
  <cols>
    <col min="1" max="1" width="20.85546875" customWidth="1"/>
    <col min="2" max="2" width="9" bestFit="1" customWidth="1"/>
    <col min="3" max="3" width="8" bestFit="1" customWidth="1"/>
    <col min="4" max="4" width="11" style="12" bestFit="1" customWidth="1"/>
    <col min="5" max="5" width="10.85546875" customWidth="1"/>
    <col min="6" max="6" width="11.85546875" bestFit="1" customWidth="1"/>
    <col min="7" max="7" width="16.28515625" style="12" customWidth="1"/>
    <col min="8" max="8" width="14.5703125" style="12" customWidth="1"/>
    <col min="9" max="9" width="20.140625" style="1" bestFit="1" customWidth="1"/>
    <col min="10" max="10" width="20.140625" style="12" customWidth="1"/>
    <col min="11" max="17" width="20.140625" style="12" hidden="1" customWidth="1"/>
    <col min="18" max="21" width="7" style="12" customWidth="1"/>
    <col min="22" max="22" width="6.85546875" style="13" customWidth="1"/>
    <col min="28" max="28" width="17.140625" bestFit="1" customWidth="1"/>
    <col min="29" max="29" width="11" bestFit="1" customWidth="1"/>
    <col min="30" max="30" width="12.5703125" bestFit="1" customWidth="1"/>
  </cols>
  <sheetData>
    <row r="1" spans="1:30" ht="36" x14ac:dyDescent="0.55000000000000004">
      <c r="A1" s="33" t="s">
        <v>6</v>
      </c>
      <c r="B1" s="33"/>
      <c r="C1" s="33"/>
      <c r="D1" s="33"/>
      <c r="E1" s="33"/>
      <c r="F1" s="33"/>
      <c r="G1" s="33"/>
      <c r="H1" s="33"/>
      <c r="I1" s="33"/>
      <c r="J1" s="18">
        <f ca="1">TODAY()</f>
        <v>44367</v>
      </c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23"/>
      <c r="AB1" s="17"/>
    </row>
    <row r="2" spans="1:30" s="2" customFormat="1" ht="30.75" thickBot="1" x14ac:dyDescent="0.3">
      <c r="A2" s="19" t="s">
        <v>0</v>
      </c>
      <c r="B2" s="19" t="s">
        <v>12</v>
      </c>
      <c r="C2" s="19" t="s">
        <v>9</v>
      </c>
      <c r="D2" s="20" t="s">
        <v>7</v>
      </c>
      <c r="E2" s="19" t="s">
        <v>10</v>
      </c>
      <c r="F2" s="19" t="s">
        <v>11</v>
      </c>
      <c r="G2" s="20" t="s">
        <v>8</v>
      </c>
      <c r="H2" s="20" t="s">
        <v>2</v>
      </c>
      <c r="I2" s="21" t="s">
        <v>1</v>
      </c>
      <c r="J2" s="22" t="s">
        <v>13</v>
      </c>
      <c r="K2" s="22" t="s">
        <v>35</v>
      </c>
      <c r="L2" s="22" t="s">
        <v>36</v>
      </c>
      <c r="M2" s="22" t="s">
        <v>37</v>
      </c>
      <c r="N2" s="22" t="s">
        <v>40</v>
      </c>
      <c r="O2" s="22" t="s">
        <v>41</v>
      </c>
      <c r="P2" s="22" t="s">
        <v>42</v>
      </c>
      <c r="Q2" s="22" t="s">
        <v>43</v>
      </c>
      <c r="R2" s="20"/>
      <c r="S2" s="20"/>
      <c r="T2" s="20"/>
      <c r="U2" s="20"/>
      <c r="V2" s="24"/>
    </row>
    <row r="3" spans="1:30" x14ac:dyDescent="0.2">
      <c r="A3" t="s">
        <v>55</v>
      </c>
      <c r="B3" t="s">
        <v>18</v>
      </c>
      <c r="C3">
        <v>230</v>
      </c>
      <c r="D3" s="12">
        <v>5267</v>
      </c>
      <c r="E3">
        <v>1</v>
      </c>
      <c r="F3" s="6">
        <v>1</v>
      </c>
      <c r="G3" s="14">
        <v>9589</v>
      </c>
      <c r="H3" s="10">
        <v>9791</v>
      </c>
      <c r="I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0.97936880808906135</v>
      </c>
      <c r="J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18976</v>
      </c>
      <c r="K3" s="10">
        <v>2</v>
      </c>
      <c r="L3" s="10"/>
      <c r="M3" s="10"/>
      <c r="N3" s="10"/>
      <c r="O3" s="10"/>
      <c r="P3" s="10"/>
      <c r="Q3" s="10"/>
      <c r="R3" s="10"/>
      <c r="S3" s="10"/>
      <c r="T3" s="10"/>
      <c r="U3" s="10"/>
      <c r="V3" s="11"/>
      <c r="AB3" s="26" t="s">
        <v>5</v>
      </c>
      <c r="AC3" s="27"/>
      <c r="AD3" s="2"/>
    </row>
    <row r="4" spans="1:30" x14ac:dyDescent="0.2">
      <c r="A4" t="s">
        <v>31</v>
      </c>
      <c r="B4" t="s">
        <v>18</v>
      </c>
      <c r="C4">
        <v>207</v>
      </c>
      <c r="D4" s="12">
        <v>4974</v>
      </c>
      <c r="E4">
        <v>2</v>
      </c>
      <c r="F4" s="6">
        <v>2</v>
      </c>
      <c r="G4" s="14">
        <v>3390</v>
      </c>
      <c r="H4" s="10">
        <v>3333</v>
      </c>
      <c r="I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1.0171017101710171</v>
      </c>
      <c r="J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6837</v>
      </c>
      <c r="K4" s="10">
        <v>2</v>
      </c>
      <c r="L4" s="10"/>
      <c r="M4" s="10"/>
      <c r="N4" s="10"/>
      <c r="O4" s="10"/>
      <c r="P4" s="10"/>
      <c r="Q4" s="10"/>
      <c r="R4" s="10"/>
      <c r="S4" s="10"/>
      <c r="T4" s="10"/>
      <c r="U4" s="10"/>
      <c r="V4" s="11"/>
      <c r="AB4" s="29" t="s">
        <v>3</v>
      </c>
      <c r="AC4" s="28"/>
      <c r="AD4" s="2"/>
    </row>
    <row r="5" spans="1:30" x14ac:dyDescent="0.2">
      <c r="A5" s="4" t="s">
        <v>22</v>
      </c>
      <c r="B5" s="4" t="s">
        <v>17</v>
      </c>
      <c r="C5" s="4">
        <v>190</v>
      </c>
      <c r="D5" s="13">
        <v>4670</v>
      </c>
      <c r="E5" s="4">
        <v>3</v>
      </c>
      <c r="F5" s="8">
        <v>3</v>
      </c>
      <c r="G5" s="15">
        <v>3611</v>
      </c>
      <c r="H5" s="11">
        <v>2864</v>
      </c>
      <c r="I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1.2608240223463687</v>
      </c>
      <c r="J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7969</v>
      </c>
      <c r="K5" s="10">
        <v>1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1"/>
      <c r="AB5" s="29" t="s">
        <v>4</v>
      </c>
      <c r="AC5" s="28"/>
    </row>
    <row r="6" spans="1:30" ht="15.75" thickBot="1" x14ac:dyDescent="0.25">
      <c r="A6" t="s">
        <v>19</v>
      </c>
      <c r="B6" t="s">
        <v>18</v>
      </c>
      <c r="C6">
        <v>225</v>
      </c>
      <c r="D6" s="12">
        <v>4579</v>
      </c>
      <c r="E6">
        <v>4</v>
      </c>
      <c r="F6" s="6">
        <v>4</v>
      </c>
      <c r="G6" s="14">
        <v>2712</v>
      </c>
      <c r="H6" s="10">
        <v>3159</v>
      </c>
      <c r="I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0.85849952516619188</v>
      </c>
      <c r="J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4977</v>
      </c>
      <c r="K6" s="10">
        <v>2</v>
      </c>
      <c r="L6" s="10"/>
      <c r="M6" s="10"/>
      <c r="N6" s="10"/>
      <c r="O6" s="10"/>
      <c r="P6" s="10"/>
      <c r="Q6" s="10"/>
      <c r="R6" s="10"/>
      <c r="S6" s="10"/>
      <c r="T6" s="10"/>
      <c r="U6" s="10"/>
      <c r="V6" s="11"/>
      <c r="AB6" s="30" t="s">
        <v>14</v>
      </c>
      <c r="AC6" s="31" t="s">
        <v>30</v>
      </c>
    </row>
    <row r="7" spans="1:30" x14ac:dyDescent="0.25">
      <c r="A7" t="s">
        <v>20</v>
      </c>
      <c r="B7" t="s">
        <v>18</v>
      </c>
      <c r="C7">
        <v>218</v>
      </c>
      <c r="D7" s="12">
        <v>4371</v>
      </c>
      <c r="E7">
        <v>5</v>
      </c>
      <c r="F7" s="6">
        <v>5</v>
      </c>
      <c r="G7" s="14">
        <v>1402</v>
      </c>
      <c r="H7" s="10">
        <v>864</v>
      </c>
      <c r="I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1.6226851851851851</v>
      </c>
      <c r="J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3342</v>
      </c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1"/>
    </row>
    <row r="8" spans="1:30" x14ac:dyDescent="0.25">
      <c r="A8" t="s">
        <v>23</v>
      </c>
      <c r="B8" t="s">
        <v>18</v>
      </c>
      <c r="C8">
        <v>184</v>
      </c>
      <c r="D8" s="12">
        <v>4150</v>
      </c>
      <c r="E8">
        <v>6</v>
      </c>
      <c r="F8" s="6">
        <v>6</v>
      </c>
      <c r="G8" s="14">
        <v>1974</v>
      </c>
      <c r="H8" s="10">
        <v>2231</v>
      </c>
      <c r="I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0.88480502017032725</v>
      </c>
      <c r="J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3691</v>
      </c>
      <c r="K8" s="10">
        <v>2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1"/>
      <c r="AB8" t="s">
        <v>69</v>
      </c>
      <c r="AC8" s="38" t="s">
        <v>68</v>
      </c>
    </row>
    <row r="9" spans="1:30" x14ac:dyDescent="0.25">
      <c r="A9" t="s">
        <v>48</v>
      </c>
      <c r="B9" t="s">
        <v>15</v>
      </c>
      <c r="C9">
        <v>208</v>
      </c>
      <c r="D9" s="12">
        <v>4030</v>
      </c>
      <c r="E9">
        <v>7</v>
      </c>
      <c r="F9" s="6">
        <v>7</v>
      </c>
      <c r="G9" s="14">
        <v>14483</v>
      </c>
      <c r="H9" s="10">
        <v>9993</v>
      </c>
      <c r="I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1.4493145201641149</v>
      </c>
      <c r="J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33456</v>
      </c>
      <c r="K9" s="10">
        <v>2</v>
      </c>
      <c r="L9" s="10"/>
      <c r="M9" s="10"/>
      <c r="N9" s="10"/>
      <c r="O9" s="10"/>
      <c r="P9" s="10"/>
      <c r="Q9" s="10"/>
      <c r="R9" s="10"/>
      <c r="S9" s="10"/>
      <c r="T9" s="10"/>
      <c r="U9" s="10"/>
      <c r="V9" s="11"/>
    </row>
    <row r="10" spans="1:30" x14ac:dyDescent="0.25">
      <c r="A10" t="s">
        <v>26</v>
      </c>
      <c r="B10" t="s">
        <v>16</v>
      </c>
      <c r="C10">
        <v>178</v>
      </c>
      <c r="D10" s="12">
        <v>3942</v>
      </c>
      <c r="E10">
        <v>8</v>
      </c>
      <c r="F10" s="6">
        <v>8</v>
      </c>
      <c r="G10" s="14">
        <v>3286</v>
      </c>
      <c r="H10" s="10">
        <v>2798</v>
      </c>
      <c r="I1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1.1744102930664762</v>
      </c>
      <c r="J1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7060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1"/>
    </row>
    <row r="11" spans="1:30" x14ac:dyDescent="0.25">
      <c r="A11" t="s">
        <v>32</v>
      </c>
      <c r="B11" t="s">
        <v>15</v>
      </c>
      <c r="C11">
        <v>166</v>
      </c>
      <c r="D11" s="12">
        <v>3664</v>
      </c>
      <c r="E11">
        <v>9</v>
      </c>
      <c r="F11" s="6">
        <v>9</v>
      </c>
      <c r="G11" s="14">
        <v>1335</v>
      </c>
      <c r="H11" s="10">
        <v>2034</v>
      </c>
      <c r="I1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0.65634218289085544</v>
      </c>
      <c r="J1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1971</v>
      </c>
      <c r="K11" s="10">
        <v>0</v>
      </c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1"/>
    </row>
    <row r="12" spans="1:30" x14ac:dyDescent="0.25">
      <c r="A12" s="8" t="s">
        <v>33</v>
      </c>
      <c r="B12" s="8" t="s">
        <v>15</v>
      </c>
      <c r="C12" s="8">
        <v>152</v>
      </c>
      <c r="D12" s="11">
        <v>3498</v>
      </c>
      <c r="E12" s="8">
        <v>10</v>
      </c>
      <c r="F12" s="8">
        <v>10</v>
      </c>
      <c r="G12" s="15">
        <v>693</v>
      </c>
      <c r="H12" s="11">
        <v>804</v>
      </c>
      <c r="I1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0.86194029850746268</v>
      </c>
      <c r="J1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1275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1"/>
    </row>
    <row r="13" spans="1:30" x14ac:dyDescent="0.25">
      <c r="A13" t="s">
        <v>24</v>
      </c>
      <c r="B13" t="s">
        <v>15</v>
      </c>
      <c r="C13">
        <v>160</v>
      </c>
      <c r="D13" s="12">
        <v>3419</v>
      </c>
      <c r="E13">
        <v>11</v>
      </c>
      <c r="F13" s="6">
        <v>12</v>
      </c>
      <c r="G13" s="14">
        <v>1181</v>
      </c>
      <c r="H13" s="10">
        <v>420</v>
      </c>
      <c r="I1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2.8119047619047617</v>
      </c>
      <c r="J1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3123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1"/>
    </row>
    <row r="14" spans="1:30" x14ac:dyDescent="0.25">
      <c r="A14" s="5" t="s">
        <v>38</v>
      </c>
      <c r="B14" s="5" t="s">
        <v>16</v>
      </c>
      <c r="C14" s="5">
        <v>123</v>
      </c>
      <c r="D14" s="11">
        <v>3379</v>
      </c>
      <c r="E14" s="5">
        <v>12</v>
      </c>
      <c r="F14" s="5">
        <v>13</v>
      </c>
      <c r="G14" s="15">
        <v>176</v>
      </c>
      <c r="H14" s="11">
        <v>2185</v>
      </c>
      <c r="I1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8.0549199084668191E-2</v>
      </c>
      <c r="J1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-552.33333333333337</v>
      </c>
      <c r="K14" s="10">
        <v>2</v>
      </c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1"/>
    </row>
    <row r="15" spans="1:30" x14ac:dyDescent="0.25">
      <c r="A15" s="4" t="s">
        <v>44</v>
      </c>
      <c r="B15" s="4" t="s">
        <v>16</v>
      </c>
      <c r="C15" s="4">
        <v>156</v>
      </c>
      <c r="D15" s="13">
        <v>3159</v>
      </c>
      <c r="E15" s="4">
        <v>13</v>
      </c>
      <c r="F15" s="8">
        <v>15</v>
      </c>
      <c r="G15" s="15">
        <v>164</v>
      </c>
      <c r="H15" s="11">
        <v>238</v>
      </c>
      <c r="I1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0.68907563025210083</v>
      </c>
      <c r="J1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254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1"/>
    </row>
    <row r="16" spans="1:30" x14ac:dyDescent="0.25">
      <c r="A16" t="s">
        <v>34</v>
      </c>
      <c r="B16" t="s">
        <v>15</v>
      </c>
      <c r="C16">
        <v>138</v>
      </c>
      <c r="D16" s="12">
        <v>3144</v>
      </c>
      <c r="E16">
        <v>14</v>
      </c>
      <c r="F16" s="6">
        <v>14</v>
      </c>
      <c r="G16" s="14">
        <v>225</v>
      </c>
      <c r="H16" s="10">
        <v>603</v>
      </c>
      <c r="I1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0.37313432835820898</v>
      </c>
      <c r="J1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72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1"/>
    </row>
    <row r="17" spans="1:22" x14ac:dyDescent="0.2">
      <c r="A17" s="6" t="s">
        <v>21</v>
      </c>
      <c r="B17" s="6" t="s">
        <v>16</v>
      </c>
      <c r="C17" s="6">
        <v>188</v>
      </c>
      <c r="D17" s="10">
        <v>3134</v>
      </c>
      <c r="E17" s="6">
        <v>15</v>
      </c>
      <c r="F17" s="6">
        <v>16</v>
      </c>
      <c r="G17" s="14">
        <v>78</v>
      </c>
      <c r="H17" s="10">
        <v>0</v>
      </c>
      <c r="I1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1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234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1"/>
    </row>
    <row r="18" spans="1:22" x14ac:dyDescent="0.2">
      <c r="A18" t="s">
        <v>50</v>
      </c>
      <c r="B18" t="s">
        <v>15</v>
      </c>
      <c r="C18">
        <v>159</v>
      </c>
      <c r="D18" s="12">
        <v>3126</v>
      </c>
      <c r="E18">
        <v>16</v>
      </c>
      <c r="F18" s="6">
        <v>11</v>
      </c>
      <c r="G18" s="14">
        <v>10812</v>
      </c>
      <c r="H18" s="10">
        <v>12350</v>
      </c>
      <c r="I1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0.87546558704453437</v>
      </c>
      <c r="J1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20086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1"/>
    </row>
    <row r="19" spans="1:22" x14ac:dyDescent="0.2">
      <c r="A19" t="s">
        <v>56</v>
      </c>
      <c r="B19" t="s">
        <v>16</v>
      </c>
      <c r="C19">
        <v>177</v>
      </c>
      <c r="D19" s="12">
        <v>3083</v>
      </c>
      <c r="E19">
        <v>17</v>
      </c>
      <c r="F19" s="6">
        <v>17</v>
      </c>
      <c r="G19" s="14">
        <v>7</v>
      </c>
      <c r="H19" s="10">
        <v>0</v>
      </c>
      <c r="I1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1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1"/>
    </row>
    <row r="20" spans="1:22" x14ac:dyDescent="0.2">
      <c r="A20" t="s">
        <v>52</v>
      </c>
      <c r="B20" t="s">
        <v>16</v>
      </c>
      <c r="C20">
        <v>128</v>
      </c>
      <c r="D20" s="12">
        <v>3067</v>
      </c>
      <c r="E20">
        <v>18</v>
      </c>
      <c r="F20" s="6">
        <v>18</v>
      </c>
      <c r="G20" s="14">
        <v>989</v>
      </c>
      <c r="H20" s="10">
        <v>1593</v>
      </c>
      <c r="I2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0.6208411801632141</v>
      </c>
      <c r="J2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1374</v>
      </c>
      <c r="K20" s="10">
        <v>1</v>
      </c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1"/>
    </row>
    <row r="21" spans="1:22" x14ac:dyDescent="0.2">
      <c r="A21" t="s">
        <v>57</v>
      </c>
      <c r="B21" t="s">
        <v>16</v>
      </c>
      <c r="C21">
        <v>156</v>
      </c>
      <c r="D21" s="12">
        <v>2918</v>
      </c>
      <c r="E21">
        <v>19</v>
      </c>
      <c r="F21" s="6">
        <v>19</v>
      </c>
      <c r="G21" s="14">
        <v>0</v>
      </c>
      <c r="H21" s="10">
        <v>137</v>
      </c>
      <c r="I2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-45.666666666666664</v>
      </c>
      <c r="K21" s="10">
        <v>1</v>
      </c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1"/>
    </row>
    <row r="22" spans="1:22" x14ac:dyDescent="0.25">
      <c r="A22" s="6" t="s">
        <v>58</v>
      </c>
      <c r="B22" s="6" t="s">
        <v>16</v>
      </c>
      <c r="C22" s="6">
        <v>146</v>
      </c>
      <c r="D22" s="10">
        <v>2793</v>
      </c>
      <c r="E22" s="6">
        <v>20</v>
      </c>
      <c r="F22" s="6">
        <v>24</v>
      </c>
      <c r="G22" s="14">
        <v>0</v>
      </c>
      <c r="H22" s="10">
        <v>66</v>
      </c>
      <c r="I2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-22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1"/>
    </row>
    <row r="23" spans="1:22" x14ac:dyDescent="0.25">
      <c r="A23" t="s">
        <v>49</v>
      </c>
      <c r="B23" t="s">
        <v>16</v>
      </c>
      <c r="C23">
        <v>127</v>
      </c>
      <c r="D23" s="12">
        <v>2779</v>
      </c>
      <c r="E23">
        <v>21</v>
      </c>
      <c r="F23" s="6">
        <v>20</v>
      </c>
      <c r="G23" s="14">
        <v>20</v>
      </c>
      <c r="H23" s="10">
        <v>201</v>
      </c>
      <c r="I2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9.950248756218906E-2</v>
      </c>
      <c r="J2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-47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1"/>
    </row>
    <row r="24" spans="1:22" x14ac:dyDescent="0.25">
      <c r="A24" s="6" t="s">
        <v>46</v>
      </c>
      <c r="B24" s="6" t="s">
        <v>16</v>
      </c>
      <c r="C24" s="6">
        <v>111</v>
      </c>
      <c r="D24" s="10">
        <v>2763</v>
      </c>
      <c r="E24" s="6">
        <v>22</v>
      </c>
      <c r="F24" s="6">
        <v>21</v>
      </c>
      <c r="G24" s="14">
        <v>1214</v>
      </c>
      <c r="H24" s="10">
        <v>1839</v>
      </c>
      <c r="I2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0.66014138118542687</v>
      </c>
      <c r="J2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1803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1"/>
    </row>
    <row r="25" spans="1:22" x14ac:dyDescent="0.25">
      <c r="A25" t="s">
        <v>59</v>
      </c>
      <c r="B25" t="s">
        <v>16</v>
      </c>
      <c r="C25">
        <v>108</v>
      </c>
      <c r="D25" s="12">
        <v>2759</v>
      </c>
      <c r="E25">
        <v>23</v>
      </c>
      <c r="F25" s="6">
        <v>22</v>
      </c>
      <c r="G25" s="14">
        <v>298</v>
      </c>
      <c r="H25" s="10">
        <v>268</v>
      </c>
      <c r="I2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1.1119402985074627</v>
      </c>
      <c r="J2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626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1"/>
    </row>
    <row r="26" spans="1:22" x14ac:dyDescent="0.25">
      <c r="A26" s="8" t="s">
        <v>60</v>
      </c>
      <c r="B26" s="8" t="s">
        <v>16</v>
      </c>
      <c r="C26" s="8">
        <v>134</v>
      </c>
      <c r="D26" s="11">
        <v>2708</v>
      </c>
      <c r="E26" s="8">
        <v>24</v>
      </c>
      <c r="F26" s="8">
        <v>25</v>
      </c>
      <c r="G26" s="15">
        <v>303</v>
      </c>
      <c r="H26" s="11">
        <v>338</v>
      </c>
      <c r="I2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0.89644970414201186</v>
      </c>
      <c r="J2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571</v>
      </c>
      <c r="K26" s="10">
        <v>2</v>
      </c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1"/>
    </row>
    <row r="27" spans="1:22" x14ac:dyDescent="0.25">
      <c r="A27" t="s">
        <v>61</v>
      </c>
      <c r="B27" t="s">
        <v>16</v>
      </c>
      <c r="C27">
        <v>116</v>
      </c>
      <c r="D27" s="12">
        <v>2695</v>
      </c>
      <c r="E27">
        <v>25</v>
      </c>
      <c r="F27" s="6">
        <v>27</v>
      </c>
      <c r="G27" s="14">
        <v>32</v>
      </c>
      <c r="H27" s="10">
        <v>0</v>
      </c>
      <c r="I2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2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96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1"/>
    </row>
    <row r="28" spans="1:22" x14ac:dyDescent="0.25">
      <c r="A28" t="s">
        <v>28</v>
      </c>
      <c r="B28" t="s">
        <v>16</v>
      </c>
      <c r="C28">
        <v>146</v>
      </c>
      <c r="D28" s="12">
        <v>2681</v>
      </c>
      <c r="E28">
        <v>26</v>
      </c>
      <c r="F28" s="6">
        <v>26</v>
      </c>
      <c r="G28" s="14">
        <v>65</v>
      </c>
      <c r="H28" s="10">
        <v>736</v>
      </c>
      <c r="I2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8.8315217391304351E-2</v>
      </c>
      <c r="J2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-180.33333333333334</v>
      </c>
      <c r="K28" s="10">
        <v>0</v>
      </c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1"/>
    </row>
    <row r="29" spans="1:22" x14ac:dyDescent="0.25">
      <c r="A29" s="4" t="s">
        <v>25</v>
      </c>
      <c r="B29" s="4" t="s">
        <v>16</v>
      </c>
      <c r="C29" s="4">
        <v>163</v>
      </c>
      <c r="D29" s="13">
        <v>2669</v>
      </c>
      <c r="E29" s="4">
        <v>27</v>
      </c>
      <c r="F29" s="8">
        <v>28</v>
      </c>
      <c r="G29" s="15">
        <v>0</v>
      </c>
      <c r="H29" s="11">
        <v>0</v>
      </c>
      <c r="I2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1"/>
    </row>
    <row r="30" spans="1:22" x14ac:dyDescent="0.25">
      <c r="A30" t="s">
        <v>27</v>
      </c>
      <c r="B30" t="s">
        <v>18</v>
      </c>
      <c r="C30">
        <v>161</v>
      </c>
      <c r="D30" s="12">
        <v>2668</v>
      </c>
      <c r="E30">
        <v>28</v>
      </c>
      <c r="F30" s="6">
        <v>29</v>
      </c>
      <c r="G30" s="14">
        <v>0</v>
      </c>
      <c r="H30" s="10">
        <v>0</v>
      </c>
      <c r="I3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1"/>
    </row>
    <row r="31" spans="1:22" x14ac:dyDescent="0.25">
      <c r="A31" s="6" t="s">
        <v>62</v>
      </c>
      <c r="B31" s="6" t="s">
        <v>16</v>
      </c>
      <c r="C31" s="6">
        <v>129</v>
      </c>
      <c r="D31" s="10">
        <v>2589</v>
      </c>
      <c r="E31" s="6">
        <v>29</v>
      </c>
      <c r="F31" s="6">
        <v>30</v>
      </c>
      <c r="G31" s="14">
        <v>3</v>
      </c>
      <c r="H31" s="10">
        <v>0</v>
      </c>
      <c r="I3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3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9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1"/>
    </row>
    <row r="32" spans="1:22" x14ac:dyDescent="0.25">
      <c r="A32" s="4" t="s">
        <v>28</v>
      </c>
      <c r="B32" s="4" t="s">
        <v>15</v>
      </c>
      <c r="C32" s="4">
        <v>158</v>
      </c>
      <c r="D32" s="13">
        <v>2576</v>
      </c>
      <c r="E32" s="4">
        <v>30</v>
      </c>
      <c r="F32" s="8">
        <v>31</v>
      </c>
      <c r="G32" s="15">
        <v>511</v>
      </c>
      <c r="H32" s="11">
        <v>95</v>
      </c>
      <c r="I3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5.3789473684210529</v>
      </c>
      <c r="J3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1438</v>
      </c>
      <c r="K32" s="10">
        <v>1</v>
      </c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1"/>
    </row>
    <row r="33" spans="1:22" x14ac:dyDescent="0.25">
      <c r="A33" t="s">
        <v>53</v>
      </c>
      <c r="B33" t="s">
        <v>16</v>
      </c>
      <c r="C33">
        <v>128</v>
      </c>
      <c r="D33" s="12">
        <v>2482</v>
      </c>
      <c r="E33">
        <v>31</v>
      </c>
      <c r="F33" s="6">
        <v>32</v>
      </c>
      <c r="G33" s="14">
        <v>456</v>
      </c>
      <c r="H33" s="10">
        <v>264</v>
      </c>
      <c r="I3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1.7272727272727273</v>
      </c>
      <c r="J3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1104</v>
      </c>
      <c r="K33" s="10">
        <v>1</v>
      </c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1"/>
    </row>
    <row r="34" spans="1:22" x14ac:dyDescent="0.25">
      <c r="A34" t="s">
        <v>54</v>
      </c>
      <c r="B34" t="s">
        <v>16</v>
      </c>
      <c r="C34">
        <v>116</v>
      </c>
      <c r="D34" s="12">
        <v>2476</v>
      </c>
      <c r="E34">
        <v>32</v>
      </c>
      <c r="F34" s="6">
        <v>34</v>
      </c>
      <c r="G34" s="14">
        <v>37</v>
      </c>
      <c r="H34" s="10">
        <v>35</v>
      </c>
      <c r="I3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1.0571428571428572</v>
      </c>
      <c r="J3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76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1"/>
    </row>
    <row r="35" spans="1:22" x14ac:dyDescent="0.25">
      <c r="A35" t="s">
        <v>63</v>
      </c>
      <c r="B35" t="s">
        <v>16</v>
      </c>
      <c r="C35">
        <v>146</v>
      </c>
      <c r="D35" s="12">
        <v>2470</v>
      </c>
      <c r="E35">
        <v>33</v>
      </c>
      <c r="F35" s="6">
        <v>33</v>
      </c>
      <c r="G35" s="14">
        <v>115</v>
      </c>
      <c r="H35" s="10">
        <v>303</v>
      </c>
      <c r="I3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0.37953795379537952</v>
      </c>
      <c r="J3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42</v>
      </c>
      <c r="K35" s="10">
        <v>0</v>
      </c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1"/>
    </row>
    <row r="36" spans="1:22" x14ac:dyDescent="0.25">
      <c r="A36" t="s">
        <v>64</v>
      </c>
      <c r="B36" t="s">
        <v>16</v>
      </c>
      <c r="C36">
        <v>122</v>
      </c>
      <c r="D36" s="12">
        <v>2469</v>
      </c>
      <c r="E36">
        <v>34</v>
      </c>
      <c r="F36" s="6">
        <v>35</v>
      </c>
      <c r="G36" s="14">
        <v>533</v>
      </c>
      <c r="H36" s="10">
        <v>182</v>
      </c>
      <c r="I3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2.9285714285714284</v>
      </c>
      <c r="J3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1417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1"/>
    </row>
    <row r="37" spans="1:22" x14ac:dyDescent="0.25">
      <c r="A37" s="3" t="s">
        <v>51</v>
      </c>
      <c r="B37" s="3" t="s">
        <v>16</v>
      </c>
      <c r="C37" s="3">
        <v>133</v>
      </c>
      <c r="D37" s="10">
        <v>2412</v>
      </c>
      <c r="E37" s="3">
        <v>35</v>
      </c>
      <c r="F37" s="3">
        <v>36</v>
      </c>
      <c r="G37" s="14">
        <v>777</v>
      </c>
      <c r="H37" s="10">
        <v>1413</v>
      </c>
      <c r="I3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0.54989384288747345</v>
      </c>
      <c r="J3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918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1"/>
    </row>
    <row r="38" spans="1:22" x14ac:dyDescent="0.25">
      <c r="A38" t="s">
        <v>65</v>
      </c>
      <c r="B38" t="s">
        <v>16</v>
      </c>
      <c r="C38">
        <v>138</v>
      </c>
      <c r="D38" s="12">
        <v>2392</v>
      </c>
      <c r="E38">
        <v>36</v>
      </c>
      <c r="F38" s="6">
        <v>37</v>
      </c>
      <c r="G38" s="14">
        <v>0</v>
      </c>
      <c r="H38" s="10">
        <v>0</v>
      </c>
      <c r="I3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1"/>
    </row>
    <row r="39" spans="1:22" x14ac:dyDescent="0.25">
      <c r="A39" t="s">
        <v>47</v>
      </c>
      <c r="B39" t="s">
        <v>15</v>
      </c>
      <c r="C39">
        <v>121</v>
      </c>
      <c r="D39" s="12">
        <v>2304</v>
      </c>
      <c r="E39">
        <v>37</v>
      </c>
      <c r="F39" s="6">
        <v>38</v>
      </c>
      <c r="G39" s="14">
        <v>0</v>
      </c>
      <c r="H39" s="10">
        <v>0</v>
      </c>
      <c r="I3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1"/>
    </row>
    <row r="40" spans="1:22" x14ac:dyDescent="0.25">
      <c r="A40" t="s">
        <v>45</v>
      </c>
      <c r="B40" t="s">
        <v>15</v>
      </c>
      <c r="C40">
        <v>129</v>
      </c>
      <c r="D40" s="12">
        <v>2295</v>
      </c>
      <c r="E40">
        <v>38</v>
      </c>
      <c r="F40" s="6">
        <v>39</v>
      </c>
      <c r="G40" s="14">
        <v>578</v>
      </c>
      <c r="H40" s="10">
        <v>619</v>
      </c>
      <c r="I4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0.93376413570274641</v>
      </c>
      <c r="J4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1115</v>
      </c>
      <c r="K40" s="10">
        <v>1</v>
      </c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1"/>
    </row>
    <row r="41" spans="1:22" x14ac:dyDescent="0.25">
      <c r="A41" t="s">
        <v>66</v>
      </c>
      <c r="B41" t="s">
        <v>16</v>
      </c>
      <c r="C41">
        <v>119</v>
      </c>
      <c r="D41" s="12">
        <v>2291</v>
      </c>
      <c r="E41">
        <v>39</v>
      </c>
      <c r="F41" s="6">
        <v>40</v>
      </c>
      <c r="G41" s="14">
        <v>357</v>
      </c>
      <c r="H41" s="10">
        <v>0</v>
      </c>
      <c r="I4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4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1071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1"/>
    </row>
    <row r="42" spans="1:22" x14ac:dyDescent="0.25">
      <c r="A42" s="6" t="s">
        <v>39</v>
      </c>
      <c r="B42" s="6" t="s">
        <v>15</v>
      </c>
      <c r="C42" s="6">
        <v>190</v>
      </c>
      <c r="D42" s="10">
        <v>1987</v>
      </c>
      <c r="E42" s="6">
        <v>40</v>
      </c>
      <c r="F42" s="6">
        <v>43</v>
      </c>
      <c r="G42" s="14">
        <v>1038</v>
      </c>
      <c r="H42" s="10">
        <v>340</v>
      </c>
      <c r="I4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3.052941176470588</v>
      </c>
      <c r="J4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2774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1"/>
    </row>
    <row r="43" spans="1:22" x14ac:dyDescent="0.25">
      <c r="A43" t="s">
        <v>29</v>
      </c>
      <c r="B43" t="s">
        <v>18</v>
      </c>
      <c r="C43">
        <v>114</v>
      </c>
      <c r="D43" s="12">
        <v>1677</v>
      </c>
      <c r="E43">
        <v>41</v>
      </c>
      <c r="F43" s="6">
        <v>44</v>
      </c>
      <c r="G43" s="14">
        <v>0</v>
      </c>
      <c r="H43" s="10">
        <v>0</v>
      </c>
      <c r="I4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1"/>
    </row>
    <row r="44" spans="1:22" x14ac:dyDescent="0.25">
      <c r="A44" t="s">
        <v>67</v>
      </c>
      <c r="B44" t="s">
        <v>16</v>
      </c>
      <c r="C44">
        <v>101</v>
      </c>
      <c r="D44" s="12">
        <v>977</v>
      </c>
      <c r="E44">
        <v>42</v>
      </c>
      <c r="F44" s="6">
        <v>45</v>
      </c>
      <c r="G44" s="14">
        <v>0</v>
      </c>
      <c r="H44" s="10">
        <v>0</v>
      </c>
      <c r="I4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1"/>
    </row>
    <row r="45" spans="1:22" x14ac:dyDescent="0.25">
      <c r="F45" s="6"/>
      <c r="G45" s="14"/>
      <c r="H45" s="10"/>
      <c r="I4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1"/>
    </row>
    <row r="46" spans="1:22" x14ac:dyDescent="0.25">
      <c r="F46" s="6"/>
      <c r="G46" s="14"/>
      <c r="H46" s="10"/>
      <c r="I4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1"/>
    </row>
    <row r="47" spans="1:22" x14ac:dyDescent="0.25">
      <c r="A47" s="8"/>
      <c r="B47" s="8"/>
      <c r="C47" s="8"/>
      <c r="D47" s="11"/>
      <c r="E47" s="8"/>
      <c r="F47" s="8"/>
      <c r="G47" s="15"/>
      <c r="H47" s="11"/>
      <c r="I4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1"/>
    </row>
    <row r="48" spans="1:22" x14ac:dyDescent="0.25">
      <c r="F48" s="6"/>
      <c r="G48" s="14"/>
      <c r="H48" s="10"/>
      <c r="I4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1"/>
    </row>
    <row r="49" spans="1:22" x14ac:dyDescent="0.25">
      <c r="F49" s="6"/>
      <c r="G49" s="14"/>
      <c r="H49" s="10"/>
      <c r="I4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1"/>
    </row>
    <row r="50" spans="1:22" x14ac:dyDescent="0.25">
      <c r="F50" s="6"/>
      <c r="G50" s="14"/>
      <c r="H50" s="10"/>
      <c r="I5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1"/>
    </row>
    <row r="51" spans="1:22" x14ac:dyDescent="0.25">
      <c r="F51" s="6"/>
      <c r="G51" s="14"/>
      <c r="H51" s="10"/>
      <c r="I5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1"/>
    </row>
    <row r="52" spans="1:22" x14ac:dyDescent="0.25">
      <c r="A52" s="4"/>
      <c r="B52" s="4"/>
      <c r="C52" s="4"/>
      <c r="D52" s="13"/>
      <c r="E52" s="4"/>
      <c r="F52" s="8"/>
      <c r="G52" s="15"/>
      <c r="H52" s="11"/>
      <c r="I5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1"/>
    </row>
    <row r="53" spans="1:22" x14ac:dyDescent="0.25">
      <c r="D53" s="16"/>
      <c r="G53" s="16"/>
      <c r="H53" s="16"/>
      <c r="I53" s="9"/>
      <c r="J53" s="16"/>
      <c r="K53" s="32"/>
      <c r="L53" s="32"/>
      <c r="M53" s="32"/>
      <c r="N53" s="32"/>
      <c r="O53" s="32"/>
      <c r="P53" s="32"/>
      <c r="Q53"/>
      <c r="R53"/>
      <c r="S53"/>
      <c r="T53"/>
      <c r="U53"/>
      <c r="V53" s="25"/>
    </row>
  </sheetData>
  <sortState ref="A3:Q52">
    <sortCondition descending="1" ref="D3"/>
  </sortState>
  <mergeCells count="1">
    <mergeCell ref="A1:I1"/>
  </mergeCells>
  <conditionalFormatting sqref="B3:B52">
    <cfRule type="beginsWith" dxfId="5" priority="8" operator="beginsWith" text="leader">
      <formula>LEFT(B3,LEN("leader"))="leader"</formula>
    </cfRule>
    <cfRule type="containsText" dxfId="4" priority="9" operator="containsText" text="coLeader">
      <formula>NOT(ISERROR(SEARCH("coLeader",B3)))</formula>
    </cfRule>
    <cfRule type="containsText" dxfId="3" priority="10" operator="containsText" text="admin">
      <formula>NOT(ISERROR(SEARCH("admin",B3)))</formula>
    </cfRule>
    <cfRule type="containsText" dxfId="2" priority="11" operator="containsText" text="member">
      <formula>NOT(ISERROR(SEARCH("member",B3)))</formula>
    </cfRule>
  </conditionalFormatting>
  <conditionalFormatting sqref="J3:V3 J20:V53 J4:R19 T4:V19">
    <cfRule type="cellIs" dxfId="1" priority="6" operator="lessThan">
      <formula>0</formula>
    </cfRule>
  </conditionalFormatting>
  <conditionalFormatting sqref="I54:V1048576 I2:V3 I20:V52 I4:R19 T4:V19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{2777DE34-CC14-4AB7-8FCF-1ED17BB381A0}</x14:id>
        </ext>
      </extLst>
    </cfRule>
  </conditionalFormatting>
  <conditionalFormatting sqref="I3:V3 I20:V52 I4:R19 T4:V19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{64EF39A5-7341-45AB-B918-FA806AC61AA2}</x14:id>
        </ext>
      </extLst>
    </cfRule>
  </conditionalFormatting>
  <conditionalFormatting sqref="I13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{43078F9A-76D1-4D75-804D-97CAA8BA4235}</x14:id>
        </ext>
      </extLst>
    </cfRule>
  </conditionalFormatting>
  <conditionalFormatting sqref="I1:I1048576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{D93691E6-DB82-48B2-8BB0-9457F055BEA2}</x14:id>
        </ext>
      </extLst>
    </cfRule>
  </conditionalFormatting>
  <conditionalFormatting sqref="S4:S19">
    <cfRule type="cellIs" dxfId="0" priority="1" operator="lessThan">
      <formula>0</formula>
    </cfRule>
  </conditionalFormatting>
  <conditionalFormatting sqref="S4:S1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{2BF2E778-FB9C-4D40-8387-E477ADEB3256}</x14:id>
        </ext>
      </extLst>
    </cfRule>
  </conditionalFormatting>
  <conditionalFormatting sqref="S4:S1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{52AFEE8D-6307-49D5-A277-22D2ADD512B2}</x14:id>
        </ext>
      </extLst>
    </cfRule>
  </conditionalFormatting>
  <hyperlinks>
    <hyperlink ref="AB4" r:id="rId1"/>
    <hyperlink ref="AB5" r:id="rId2" location="clanTag=VQPVPJ09"/>
    <hyperlink ref="AC8" r:id="rId3"/>
  </hyperlinks>
  <pageMargins left="0.70866141732283472" right="0.70866141732283472" top="0.74803149606299213" bottom="0.74803149606299213" header="0.31496062992125984" footer="0.31496062992125984"/>
  <pageSetup paperSize="9" scale="61" orientation="portrait" horizontalDpi="4294967293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GetJSON">
                <anchor moveWithCells="1" sizeWithCells="1">
                  <from>
                    <xdr:col>22</xdr:col>
                    <xdr:colOff>19050</xdr:colOff>
                    <xdr:row>2</xdr:row>
                    <xdr:rowOff>0</xdr:rowOff>
                  </from>
                  <to>
                    <xdr:col>26</xdr:col>
                    <xdr:colOff>123825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ClanListeLeeren">
                <anchor moveWithCells="1" sizeWithCells="1">
                  <from>
                    <xdr:col>22</xdr:col>
                    <xdr:colOff>28575</xdr:colOff>
                    <xdr:row>7</xdr:row>
                    <xdr:rowOff>0</xdr:rowOff>
                  </from>
                  <to>
                    <xdr:col>26</xdr:col>
                    <xdr:colOff>142875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sortierenSpenden">
                <anchor moveWithCells="1" sizeWithCells="1">
                  <from>
                    <xdr:col>22</xdr:col>
                    <xdr:colOff>28575</xdr:colOff>
                    <xdr:row>12</xdr:row>
                    <xdr:rowOff>66675</xdr:rowOff>
                  </from>
                  <to>
                    <xdr:col>26</xdr:col>
                    <xdr:colOff>142875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sortierenTrophäen">
                <anchor moveWithCells="1" sizeWithCells="1">
                  <from>
                    <xdr:col>22</xdr:col>
                    <xdr:colOff>38100</xdr:colOff>
                    <xdr:row>31</xdr:row>
                    <xdr:rowOff>28575</xdr:rowOff>
                  </from>
                  <to>
                    <xdr:col>26</xdr:col>
                    <xdr:colOff>152400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PDFExport">
                <anchor moveWithCells="1" sizeWithCells="1">
                  <from>
                    <xdr:col>22</xdr:col>
                    <xdr:colOff>38100</xdr:colOff>
                    <xdr:row>37</xdr:row>
                    <xdr:rowOff>76200</xdr:rowOff>
                  </from>
                  <to>
                    <xdr:col>26</xdr:col>
                    <xdr:colOff>152400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sortierenGespendet">
                <anchor moveWithCells="1" sizeWithCells="1">
                  <from>
                    <xdr:col>22</xdr:col>
                    <xdr:colOff>28575</xdr:colOff>
                    <xdr:row>18</xdr:row>
                    <xdr:rowOff>95250</xdr:rowOff>
                  </from>
                  <to>
                    <xdr:col>26</xdr:col>
                    <xdr:colOff>142875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sortierenSpendenErhalten">
                <anchor moveWithCells="1" sizeWithCells="1">
                  <from>
                    <xdr:col>22</xdr:col>
                    <xdr:colOff>38100</xdr:colOff>
                    <xdr:row>24</xdr:row>
                    <xdr:rowOff>104775</xdr:rowOff>
                  </from>
                  <to>
                    <xdr:col>26</xdr:col>
                    <xdr:colOff>152400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ortierenSpendenbudget">
                <anchor moveWithCells="1" sizeWithCells="1">
                  <from>
                    <xdr:col>26</xdr:col>
                    <xdr:colOff>304800</xdr:colOff>
                    <xdr:row>12</xdr:row>
                    <xdr:rowOff>66675</xdr:rowOff>
                  </from>
                  <to>
                    <xdr:col>29</xdr:col>
                    <xdr:colOff>342900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77DE34-CC14-4AB7-8FCF-1ED17BB38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I54:V1048576 I2:V3 I20:V52 I4:R19 T4:V19</xm:sqref>
        </x14:conditionalFormatting>
        <x14:conditionalFormatting xmlns:xm="http://schemas.microsoft.com/office/excel/2006/main">
          <x14:cfRule type="dataBar" id="{64EF39A5-7341-45AB-B918-FA806AC61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I3:V3 I20:V52 I4:R19 T4:V19</xm:sqref>
        </x14:conditionalFormatting>
        <x14:conditionalFormatting xmlns:xm="http://schemas.microsoft.com/office/excel/2006/main">
          <x14:cfRule type="dataBar" id="{43078F9A-76D1-4D75-804D-97CAA8BA4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D93691E6-DB82-48B2-8BB0-9457F055BE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2BF2E778-FB9C-4D40-8387-E477ADEB32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S4:S19</xm:sqref>
        </x14:conditionalFormatting>
        <x14:conditionalFormatting xmlns:xm="http://schemas.microsoft.com/office/excel/2006/main">
          <x14:cfRule type="dataBar" id="{52AFEE8D-6307-49D5-A277-22D2ADD512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S4:S19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41"/>
  <sheetViews>
    <sheetView workbookViewId="0">
      <selection activeCell="D15" sqref="D15"/>
    </sheetView>
  </sheetViews>
  <sheetFormatPr baseColWidth="10" defaultRowHeight="15" x14ac:dyDescent="0.25"/>
  <sheetData>
    <row r="2" spans="2:2" x14ac:dyDescent="0.25">
      <c r="B2" s="36" t="s">
        <v>55</v>
      </c>
    </row>
    <row r="3" spans="2:2" x14ac:dyDescent="0.25">
      <c r="B3" s="37" t="s">
        <v>31</v>
      </c>
    </row>
    <row r="4" spans="2:2" x14ac:dyDescent="0.25">
      <c r="B4" s="36" t="s">
        <v>22</v>
      </c>
    </row>
    <row r="5" spans="2:2" x14ac:dyDescent="0.25">
      <c r="B5" s="35" t="s">
        <v>19</v>
      </c>
    </row>
    <row r="6" spans="2:2" x14ac:dyDescent="0.25">
      <c r="B6" s="36" t="s">
        <v>20</v>
      </c>
    </row>
    <row r="7" spans="2:2" x14ac:dyDescent="0.25">
      <c r="B7" s="37" t="s">
        <v>23</v>
      </c>
    </row>
    <row r="8" spans="2:2" x14ac:dyDescent="0.25">
      <c r="B8" s="34" t="s">
        <v>48</v>
      </c>
    </row>
    <row r="9" spans="2:2" x14ac:dyDescent="0.25">
      <c r="B9" s="35" t="s">
        <v>26</v>
      </c>
    </row>
    <row r="10" spans="2:2" x14ac:dyDescent="0.25">
      <c r="B10" s="36" t="s">
        <v>32</v>
      </c>
    </row>
    <row r="11" spans="2:2" x14ac:dyDescent="0.25">
      <c r="B11" s="37" t="s">
        <v>33</v>
      </c>
    </row>
    <row r="12" spans="2:2" x14ac:dyDescent="0.25">
      <c r="B12" s="34" t="s">
        <v>24</v>
      </c>
    </row>
    <row r="13" spans="2:2" x14ac:dyDescent="0.25">
      <c r="B13" s="37" t="s">
        <v>38</v>
      </c>
    </row>
    <row r="14" spans="2:2" x14ac:dyDescent="0.25">
      <c r="B14" s="35" t="s">
        <v>34</v>
      </c>
    </row>
    <row r="15" spans="2:2" x14ac:dyDescent="0.25">
      <c r="B15" s="35" t="s">
        <v>50</v>
      </c>
    </row>
    <row r="16" spans="2:2" x14ac:dyDescent="0.25">
      <c r="B16" s="34" t="s">
        <v>56</v>
      </c>
    </row>
    <row r="17" spans="1:2" x14ac:dyDescent="0.25">
      <c r="B17" s="35" t="s">
        <v>52</v>
      </c>
    </row>
    <row r="18" spans="1:2" x14ac:dyDescent="0.25">
      <c r="B18" s="34" t="s">
        <v>57</v>
      </c>
    </row>
    <row r="19" spans="1:2" x14ac:dyDescent="0.25">
      <c r="B19" s="37" t="s">
        <v>58</v>
      </c>
    </row>
    <row r="20" spans="1:2" x14ac:dyDescent="0.25">
      <c r="B20" s="36" t="s">
        <v>49</v>
      </c>
    </row>
    <row r="21" spans="1:2" x14ac:dyDescent="0.25">
      <c r="A21">
        <v>15</v>
      </c>
      <c r="B21" s="37" t="s">
        <v>46</v>
      </c>
    </row>
    <row r="22" spans="1:2" x14ac:dyDescent="0.25">
      <c r="B22" s="34" t="s">
        <v>59</v>
      </c>
    </row>
    <row r="23" spans="1:2" x14ac:dyDescent="0.25">
      <c r="B23" s="35" t="s">
        <v>60</v>
      </c>
    </row>
    <row r="24" spans="1:2" x14ac:dyDescent="0.25">
      <c r="B24" s="34" t="s">
        <v>61</v>
      </c>
    </row>
    <row r="25" spans="1:2" x14ac:dyDescent="0.25">
      <c r="B25" s="35" t="s">
        <v>28</v>
      </c>
    </row>
    <row r="26" spans="1:2" x14ac:dyDescent="0.25">
      <c r="B26" s="34" t="s">
        <v>25</v>
      </c>
    </row>
    <row r="27" spans="1:2" x14ac:dyDescent="0.25">
      <c r="B27" s="35" t="s">
        <v>27</v>
      </c>
    </row>
    <row r="28" spans="1:2" x14ac:dyDescent="0.25">
      <c r="B28" s="34" t="s">
        <v>62</v>
      </c>
    </row>
    <row r="29" spans="1:2" x14ac:dyDescent="0.25">
      <c r="B29" s="35" t="s">
        <v>28</v>
      </c>
    </row>
    <row r="30" spans="1:2" x14ac:dyDescent="0.25">
      <c r="B30" s="34" t="s">
        <v>53</v>
      </c>
    </row>
    <row r="31" spans="1:2" x14ac:dyDescent="0.25">
      <c r="B31" s="35" t="s">
        <v>54</v>
      </c>
    </row>
    <row r="32" spans="1:2" x14ac:dyDescent="0.25">
      <c r="B32" s="34" t="s">
        <v>63</v>
      </c>
    </row>
    <row r="33" spans="1:2" x14ac:dyDescent="0.25">
      <c r="B33" s="37" t="s">
        <v>64</v>
      </c>
    </row>
    <row r="34" spans="1:2" x14ac:dyDescent="0.25">
      <c r="B34" s="34" t="s">
        <v>51</v>
      </c>
    </row>
    <row r="35" spans="1:2" x14ac:dyDescent="0.25">
      <c r="B35" s="35" t="s">
        <v>65</v>
      </c>
    </row>
    <row r="36" spans="1:2" x14ac:dyDescent="0.25">
      <c r="B36" s="34" t="s">
        <v>47</v>
      </c>
    </row>
    <row r="37" spans="1:2" x14ac:dyDescent="0.25">
      <c r="A37">
        <v>13</v>
      </c>
      <c r="B37" s="37" t="s">
        <v>45</v>
      </c>
    </row>
    <row r="38" spans="1:2" x14ac:dyDescent="0.25">
      <c r="B38" s="34" t="s">
        <v>66</v>
      </c>
    </row>
    <row r="39" spans="1:2" x14ac:dyDescent="0.25">
      <c r="B39" s="35" t="s">
        <v>39</v>
      </c>
    </row>
    <row r="40" spans="1:2" x14ac:dyDescent="0.25">
      <c r="B40" s="34" t="s">
        <v>29</v>
      </c>
    </row>
    <row r="41" spans="1:2" x14ac:dyDescent="0.25">
      <c r="B41" s="35" t="s">
        <v>67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Clanübersicht</vt:lpstr>
      <vt:lpstr>ck</vt:lpstr>
      <vt:lpstr>APIurl</vt:lpstr>
      <vt:lpstr>Clanübersicht!Druckbereich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Waitz</dc:creator>
  <cp:lastModifiedBy>p.waitz@gmx.de</cp:lastModifiedBy>
  <cp:lastPrinted>2021-04-08T18:53:29Z</cp:lastPrinted>
  <dcterms:created xsi:type="dcterms:W3CDTF">2006-09-16T00:00:00Z</dcterms:created>
  <dcterms:modified xsi:type="dcterms:W3CDTF">2021-06-20T17:50:29Z</dcterms:modified>
</cp:coreProperties>
</file>